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ger\Dropbox\Infinite Actuary\Technical Skills Course\5 VBA\Project\"/>
    </mc:Choice>
  </mc:AlternateContent>
  <bookViews>
    <workbookView xWindow="240" yWindow="30" windowWidth="20115" windowHeight="7485"/>
  </bookViews>
  <sheets>
    <sheet name="Logo" sheetId="34" r:id="rId1"/>
    <sheet name="Summary" sheetId="14" r:id="rId2"/>
    <sheet name="Region1" sheetId="1" r:id="rId3"/>
    <sheet name="Region2" sheetId="2" r:id="rId4"/>
    <sheet name="Region3" sheetId="3" r:id="rId5"/>
    <sheet name="Region4" sheetId="13" r:id="rId6"/>
    <sheet name="Region5" sheetId="15" r:id="rId7"/>
    <sheet name="Region6" sheetId="16" r:id="rId8"/>
    <sheet name="Region7" sheetId="17" r:id="rId9"/>
    <sheet name="Region8" sheetId="18" r:id="rId10"/>
    <sheet name="Region9" sheetId="19" r:id="rId11"/>
    <sheet name="Region10" sheetId="20" r:id="rId12"/>
    <sheet name="Region11" sheetId="21" r:id="rId13"/>
    <sheet name="Region12" sheetId="22" r:id="rId14"/>
    <sheet name="Region13" sheetId="23" r:id="rId15"/>
    <sheet name="Region14" sheetId="24" r:id="rId16"/>
    <sheet name="Region15" sheetId="25" r:id="rId17"/>
    <sheet name="Region16" sheetId="26" r:id="rId18"/>
    <sheet name="Region17" sheetId="27" r:id="rId19"/>
    <sheet name="Region18" sheetId="28" r:id="rId20"/>
    <sheet name="Region19" sheetId="29" r:id="rId21"/>
    <sheet name="Region20" sheetId="30" r:id="rId22"/>
    <sheet name="Distibution" sheetId="31" r:id="rId23"/>
    <sheet name="Warranty Sales - Function" sheetId="32" r:id="rId24"/>
    <sheet name="Checkout" sheetId="33" r:id="rId25"/>
  </sheets>
  <functionGroups builtInGroupCount="18"/>
  <calcPr calcId="152511"/>
</workbook>
</file>

<file path=xl/calcChain.xml><?xml version="1.0" encoding="utf-8"?>
<calcChain xmlns="http://schemas.openxmlformats.org/spreadsheetml/2006/main">
  <c r="BF103" i="31" l="1"/>
  <c r="BE103" i="31"/>
  <c r="BD103" i="31"/>
  <c r="BC103" i="31"/>
  <c r="BB103" i="31"/>
  <c r="BA103" i="31"/>
  <c r="AZ103" i="31"/>
  <c r="AY103" i="31"/>
  <c r="AX103" i="31"/>
  <c r="AW103" i="31"/>
  <c r="AV103" i="31"/>
  <c r="AU103" i="31"/>
  <c r="AT103" i="31"/>
  <c r="AS103" i="31"/>
  <c r="AR103" i="31"/>
  <c r="AQ103" i="31"/>
  <c r="AP103" i="31"/>
  <c r="AO103" i="31"/>
  <c r="AN103" i="31"/>
  <c r="AM103" i="31"/>
  <c r="AL103" i="31"/>
  <c r="AK103" i="31"/>
  <c r="AJ103" i="31"/>
  <c r="AI103" i="31"/>
  <c r="AH103" i="31"/>
  <c r="AG103" i="31"/>
  <c r="AF103" i="31"/>
  <c r="AE103" i="31"/>
  <c r="AD103" i="31"/>
  <c r="AC103" i="31"/>
  <c r="AB103" i="31"/>
  <c r="AA103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H7" i="31"/>
  <c r="H8" i="31" s="1"/>
  <c r="H9" i="31" s="1"/>
  <c r="H10" i="31" s="1"/>
  <c r="H11" i="31" s="1"/>
  <c r="H12" i="31" s="1"/>
  <c r="H13" i="31" s="1"/>
  <c r="H14" i="31" s="1"/>
  <c r="H15" i="31" s="1"/>
  <c r="H16" i="31" s="1"/>
  <c r="H17" i="31" s="1"/>
  <c r="H18" i="31" s="1"/>
  <c r="H19" i="31" s="1"/>
  <c r="H20" i="31" s="1"/>
  <c r="H21" i="31" s="1"/>
  <c r="H22" i="31" s="1"/>
  <c r="H23" i="31" s="1"/>
  <c r="H24" i="31" s="1"/>
  <c r="H25" i="31" s="1"/>
  <c r="H26" i="31" s="1"/>
  <c r="H27" i="31" s="1"/>
  <c r="H28" i="31" s="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H42" i="31" s="1"/>
  <c r="H43" i="31" s="1"/>
  <c r="H44" i="31" s="1"/>
  <c r="H45" i="31" s="1"/>
  <c r="H46" i="31" s="1"/>
  <c r="H47" i="31" s="1"/>
  <c r="H48" i="31" s="1"/>
  <c r="H49" i="31" s="1"/>
  <c r="H50" i="31" s="1"/>
  <c r="H51" i="31" s="1"/>
  <c r="H52" i="31" s="1"/>
  <c r="H53" i="31" s="1"/>
  <c r="H54" i="31" s="1"/>
  <c r="H55" i="31" s="1"/>
  <c r="H56" i="31" s="1"/>
  <c r="H57" i="31" s="1"/>
  <c r="H58" i="31" s="1"/>
  <c r="H59" i="31" s="1"/>
  <c r="H60" i="31" s="1"/>
  <c r="H61" i="31" s="1"/>
  <c r="H62" i="31" s="1"/>
  <c r="H63" i="31" s="1"/>
  <c r="H64" i="31" s="1"/>
  <c r="H65" i="31" s="1"/>
  <c r="H66" i="31" s="1"/>
  <c r="H67" i="31" s="1"/>
  <c r="H68" i="31" s="1"/>
  <c r="H69" i="31" s="1"/>
  <c r="H70" i="31" s="1"/>
  <c r="H71" i="31" s="1"/>
  <c r="H72" i="31" s="1"/>
  <c r="H73" i="31" s="1"/>
  <c r="H74" i="31" s="1"/>
  <c r="H75" i="31" s="1"/>
  <c r="H76" i="31" s="1"/>
  <c r="H77" i="31" s="1"/>
  <c r="H78" i="31" s="1"/>
  <c r="H79" i="31" s="1"/>
  <c r="H80" i="31" s="1"/>
  <c r="H81" i="31" s="1"/>
  <c r="H82" i="31" s="1"/>
  <c r="H83" i="31" s="1"/>
  <c r="H84" i="31" s="1"/>
  <c r="H85" i="31" s="1"/>
  <c r="H86" i="31" s="1"/>
  <c r="H87" i="31" s="1"/>
  <c r="H88" i="31" s="1"/>
  <c r="H89" i="31" s="1"/>
  <c r="H90" i="31" s="1"/>
  <c r="H91" i="31" s="1"/>
  <c r="H92" i="31" s="1"/>
  <c r="H93" i="31" s="1"/>
  <c r="H94" i="31" s="1"/>
  <c r="H95" i="31" s="1"/>
  <c r="H96" i="31" s="1"/>
  <c r="H97" i="31" s="1"/>
  <c r="H98" i="31" s="1"/>
  <c r="H99" i="31" s="1"/>
  <c r="H100" i="31" s="1"/>
  <c r="H101" i="31" s="1"/>
  <c r="H102" i="31" s="1"/>
  <c r="L19" i="32"/>
  <c r="R13" i="14"/>
  <c r="O2" i="14"/>
  <c r="G13" i="14"/>
  <c r="H8" i="14"/>
  <c r="B8" i="14"/>
  <c r="R12" i="14"/>
  <c r="S11" i="14"/>
  <c r="L3" i="14"/>
  <c r="P3" i="14"/>
  <c r="D8" i="14"/>
  <c r="F13" i="14"/>
  <c r="H15" i="14"/>
  <c r="H5" i="14"/>
  <c r="N5" i="14"/>
  <c r="B15" i="14"/>
  <c r="N2" i="14"/>
  <c r="E2" i="14"/>
  <c r="O3" i="14"/>
  <c r="K4" i="14"/>
  <c r="G10" i="14"/>
  <c r="D2" i="14"/>
  <c r="M11" i="14"/>
  <c r="K15" i="14"/>
  <c r="L9" i="14"/>
  <c r="S7" i="14"/>
  <c r="E13" i="14"/>
  <c r="S15" i="14"/>
  <c r="S9" i="14"/>
  <c r="P11" i="14"/>
  <c r="F11" i="14"/>
  <c r="N3" i="14"/>
  <c r="D13" i="14"/>
  <c r="F8" i="14"/>
  <c r="P6" i="14"/>
  <c r="B13" i="14"/>
  <c r="O15" i="14"/>
  <c r="N8" i="14"/>
  <c r="I5" i="14"/>
  <c r="P15" i="14"/>
  <c r="Q15" i="14"/>
  <c r="S10" i="14"/>
  <c r="T13" i="14"/>
  <c r="M9" i="14"/>
  <c r="T10" i="14"/>
  <c r="L6" i="14"/>
  <c r="M3" i="14"/>
  <c r="Q3" i="14"/>
  <c r="Q2" i="14"/>
  <c r="J13" i="14"/>
  <c r="N9" i="14"/>
  <c r="E6" i="14"/>
  <c r="J5" i="14"/>
  <c r="B7" i="14"/>
  <c r="F4" i="14"/>
  <c r="E11" i="14"/>
  <c r="P7" i="14"/>
  <c r="E12" i="14"/>
  <c r="N4" i="14"/>
  <c r="I12" i="14"/>
  <c r="P8" i="14"/>
  <c r="S6" i="14"/>
  <c r="G8" i="14"/>
  <c r="E3" i="14"/>
  <c r="E5" i="14"/>
  <c r="T5" i="14"/>
  <c r="Q8" i="14"/>
  <c r="I13" i="14"/>
  <c r="O13" i="14"/>
  <c r="M12" i="14"/>
  <c r="Q6" i="14"/>
  <c r="G11" i="14"/>
  <c r="D6" i="14"/>
  <c r="C2" i="14"/>
  <c r="L13" i="14"/>
  <c r="M7" i="14"/>
  <c r="C5" i="14"/>
  <c r="D15" i="14"/>
  <c r="C6" i="14"/>
  <c r="U4" i="14"/>
  <c r="M4" i="14"/>
  <c r="M8" i="14"/>
  <c r="R8" i="14"/>
  <c r="K5" i="14"/>
  <c r="U2" i="14"/>
  <c r="E8" i="14"/>
  <c r="K12" i="14"/>
  <c r="T6" i="14"/>
  <c r="I8" i="14"/>
  <c r="J9" i="14"/>
  <c r="J3" i="14"/>
  <c r="M15" i="14"/>
  <c r="F2" i="14"/>
  <c r="P10" i="14"/>
  <c r="N6" i="14"/>
  <c r="J8" i="14"/>
  <c r="H12" i="14"/>
  <c r="E7" i="14"/>
  <c r="C12" i="14"/>
  <c r="R9" i="14"/>
  <c r="Q4" i="14"/>
  <c r="L15" i="14"/>
  <c r="U15" i="14"/>
  <c r="Q10" i="14"/>
  <c r="O11" i="14"/>
  <c r="Q7" i="14"/>
  <c r="B2" i="14"/>
  <c r="S4" i="14"/>
  <c r="K6" i="14"/>
  <c r="R3" i="14"/>
  <c r="T9" i="14"/>
  <c r="K7" i="14"/>
  <c r="Q13" i="14"/>
  <c r="U8" i="14"/>
  <c r="P9" i="14"/>
  <c r="I6" i="14"/>
  <c r="M10" i="14"/>
  <c r="K8" i="14"/>
  <c r="J12" i="14"/>
  <c r="G6" i="14"/>
  <c r="D5" i="14"/>
  <c r="H6" i="14"/>
  <c r="E9" i="14"/>
  <c r="C10" i="14"/>
  <c r="H4" i="14"/>
  <c r="P13" i="14"/>
  <c r="B3" i="14"/>
  <c r="G9" i="14"/>
  <c r="M13" i="14"/>
  <c r="R7" i="14"/>
  <c r="O7" i="14"/>
  <c r="B10" i="14"/>
  <c r="M6" i="14"/>
  <c r="D3" i="14"/>
  <c r="O5" i="14"/>
  <c r="F3" i="14"/>
  <c r="N12" i="14"/>
  <c r="I10" i="14"/>
  <c r="T4" i="14"/>
  <c r="T8" i="14"/>
  <c r="R11" i="14"/>
  <c r="I9" i="14"/>
  <c r="L11" i="14"/>
  <c r="Q9" i="14"/>
  <c r="B6" i="14"/>
  <c r="E4" i="14"/>
  <c r="C11" i="14"/>
  <c r="T7" i="14"/>
  <c r="H11" i="14"/>
  <c r="U12" i="14"/>
  <c r="S3" i="14"/>
  <c r="U6" i="14"/>
  <c r="M5" i="14"/>
  <c r="F12" i="14"/>
  <c r="C9" i="14"/>
  <c r="K9" i="14"/>
  <c r="H3" i="14"/>
  <c r="U9" i="14"/>
  <c r="L2" i="14"/>
  <c r="G12" i="14"/>
  <c r="O8" i="14"/>
  <c r="O10" i="14"/>
  <c r="E10" i="14"/>
  <c r="K11" i="14"/>
  <c r="S8" i="14"/>
  <c r="F15" i="14"/>
  <c r="D9" i="14"/>
  <c r="G5" i="14"/>
  <c r="U5" i="14"/>
  <c r="E15" i="14"/>
  <c r="F9" i="14"/>
  <c r="R10" i="14"/>
  <c r="U7" i="14"/>
  <c r="Q5" i="14"/>
  <c r="G7" i="14"/>
  <c r="H10" i="14"/>
  <c r="U13" i="14"/>
  <c r="D7" i="14"/>
  <c r="O9" i="14"/>
  <c r="S13" i="14"/>
  <c r="B9" i="14"/>
  <c r="P2" i="14"/>
  <c r="J10" i="14"/>
  <c r="K10" i="14"/>
  <c r="R5" i="14"/>
  <c r="J11" i="14"/>
  <c r="P5" i="14"/>
  <c r="H13" i="14"/>
  <c r="N13" i="14"/>
  <c r="U10" i="14"/>
  <c r="I15" i="14"/>
  <c r="C13" i="14"/>
  <c r="T2" i="14"/>
  <c r="D10" i="14"/>
  <c r="P12" i="14"/>
  <c r="L10" i="14"/>
  <c r="G3" i="14"/>
  <c r="G2" i="14"/>
  <c r="O4" i="14"/>
  <c r="T15" i="14"/>
  <c r="H9" i="14"/>
  <c r="L7" i="14"/>
  <c r="C3" i="14"/>
  <c r="G4" i="14"/>
  <c r="M2" i="14"/>
  <c r="C7" i="14"/>
  <c r="Q11" i="14"/>
  <c r="J6" i="14"/>
  <c r="N7" i="14"/>
  <c r="N15" i="14"/>
  <c r="F10" i="14"/>
  <c r="C15" i="14"/>
  <c r="D12" i="14"/>
  <c r="U3" i="14"/>
  <c r="H2" i="14"/>
  <c r="I7" i="14"/>
  <c r="O12" i="14"/>
  <c r="I3" i="14"/>
  <c r="J2" i="14"/>
  <c r="R2" i="14"/>
  <c r="L5" i="14"/>
  <c r="B12" i="14"/>
  <c r="U11" i="14"/>
  <c r="P4" i="14"/>
  <c r="R15" i="14"/>
  <c r="B5" i="14"/>
  <c r="R6" i="14"/>
  <c r="F6" i="14"/>
  <c r="N11" i="14"/>
  <c r="C4" i="14"/>
  <c r="H7" i="14"/>
  <c r="F7" i="14"/>
  <c r="I2" i="14"/>
  <c r="D4" i="14"/>
  <c r="B4" i="14"/>
  <c r="T3" i="14"/>
  <c r="C8" i="14"/>
  <c r="L8" i="14"/>
  <c r="I11" i="14"/>
  <c r="N10" i="14"/>
  <c r="R4" i="14"/>
  <c r="L4" i="14"/>
  <c r="D11" i="14"/>
  <c r="T11" i="14"/>
  <c r="S12" i="14"/>
  <c r="J4" i="14"/>
  <c r="S2" i="14"/>
  <c r="I4" i="14"/>
  <c r="K3" i="14"/>
  <c r="G15" i="14"/>
  <c r="J7" i="14"/>
  <c r="L12" i="14"/>
  <c r="S5" i="14"/>
  <c r="F5" i="14"/>
  <c r="T12" i="14"/>
  <c r="B11" i="14"/>
  <c r="K13" i="14"/>
  <c r="O6" i="14"/>
  <c r="K2" i="14"/>
  <c r="J15" i="14"/>
  <c r="Q12" i="14"/>
  <c r="S14" i="14" l="1"/>
  <c r="C14" i="14"/>
  <c r="H14" i="14"/>
  <c r="G14" i="14"/>
  <c r="U14" i="14"/>
  <c r="T14" i="14"/>
  <c r="B14" i="14"/>
  <c r="D14" i="14"/>
  <c r="K14" i="14"/>
  <c r="I14" i="14"/>
  <c r="E14" i="14"/>
  <c r="N14" i="14"/>
  <c r="P14" i="14"/>
  <c r="M14" i="14"/>
  <c r="F14" i="14"/>
  <c r="Q14" i="14"/>
  <c r="R14" i="14"/>
  <c r="J14" i="14"/>
  <c r="L14" i="14"/>
  <c r="O14" i="14"/>
</calcChain>
</file>

<file path=xl/comments1.xml><?xml version="1.0" encoding="utf-8"?>
<comments xmlns="http://schemas.openxmlformats.org/spreadsheetml/2006/main">
  <authors>
    <author>Rogee</author>
  </authors>
  <commentList>
    <comment ref="I3" authorId="0" shapeId="0">
      <text>
        <r>
          <rPr>
            <sz val="9"/>
            <color indexed="81"/>
            <rFont val="Tahoma"/>
            <family val="2"/>
          </rPr>
          <t xml:space="preserve">First, determine the Brand.  Then determine the Item sold.  Then attach a price from the price table and enter that number here.
</t>
        </r>
      </text>
    </comment>
  </commentList>
</comments>
</file>

<file path=xl/sharedStrings.xml><?xml version="1.0" encoding="utf-8"?>
<sst xmlns="http://schemas.openxmlformats.org/spreadsheetml/2006/main" count="1149" uniqueCount="79">
  <si>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</si>
  <si>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</si>
  <si>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</si>
  <si>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</si>
  <si>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</si>
  <si>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</si>
  <si>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</si>
  <si>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</si>
  <si>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</si>
  <si>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</si>
  <si>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</si>
  <si>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</si>
  <si>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</si>
  <si>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Region1</t>
  </si>
  <si>
    <t>Region2</t>
  </si>
  <si>
    <t>Region3</t>
  </si>
  <si>
    <t>Region4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</si>
  <si>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</si>
  <si>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</si>
  <si>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</si>
  <si>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</si>
  <si>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</si>
  <si>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</si>
  <si>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</si>
  <si>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</si>
  <si>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</si>
  <si>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</si>
  <si>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</si>
  <si>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</si>
  <si>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Region5</t>
  </si>
  <si>
    <t>Region6</t>
  </si>
  <si>
    <t>Region7</t>
  </si>
  <si>
    <t>Region8</t>
  </si>
  <si>
    <t>Region9</t>
  </si>
  <si>
    <t>Region10</t>
  </si>
  <si>
    <t>Region11</t>
  </si>
  <si>
    <t>Region12</t>
  </si>
  <si>
    <t>Region13</t>
  </si>
  <si>
    <t>Region14</t>
  </si>
  <si>
    <t>Region15</t>
  </si>
  <si>
    <t>Region16</t>
  </si>
  <si>
    <t>Region17</t>
  </si>
  <si>
    <t>Region18</t>
  </si>
  <si>
    <t>Region19</t>
  </si>
  <si>
    <t>Region20</t>
  </si>
  <si>
    <t>Month</t>
  </si>
  <si>
    <t>Sales</t>
  </si>
  <si>
    <t>Check</t>
  </si>
  <si>
    <t>Generic</t>
  </si>
  <si>
    <t>Plus</t>
  </si>
  <si>
    <t>Distribution of Sales</t>
  </si>
  <si>
    <t>Refrigerator</t>
  </si>
  <si>
    <t>TV</t>
  </si>
  <si>
    <t>Dryer</t>
  </si>
  <si>
    <t>Laptop</t>
  </si>
  <si>
    <t>Washer</t>
  </si>
  <si>
    <t>Desktop CPU</t>
  </si>
  <si>
    <t>Camera</t>
  </si>
  <si>
    <t>Guitar</t>
  </si>
  <si>
    <t>Speakers</t>
  </si>
  <si>
    <t>Phone</t>
  </si>
  <si>
    <t>Tablet</t>
  </si>
  <si>
    <t>E-Reader</t>
  </si>
  <si>
    <t>MP3 Player</t>
  </si>
  <si>
    <t>GPS</t>
  </si>
  <si>
    <t>Item</t>
  </si>
  <si>
    <t>Brand</t>
  </si>
  <si>
    <t>1-Year Warranty Price Table</t>
  </si>
  <si>
    <t>Simulation Number -------&gt;</t>
  </si>
  <si>
    <t>Item#</t>
  </si>
  <si>
    <t>Total Sales ($)</t>
  </si>
  <si>
    <t>Goal: Analyze the Sales Data</t>
  </si>
  <si>
    <t>List of Warranty Sales for 2012</t>
  </si>
  <si>
    <t>Warranty Revenue $</t>
  </si>
  <si>
    <t>Total Revenue</t>
  </si>
  <si>
    <t>?</t>
  </si>
  <si>
    <t>Create a function that takes in Item and Brand then returns the 1-Year Warranty Price Table</t>
  </si>
  <si>
    <t>Enter in Quantity</t>
  </si>
  <si>
    <t>Total Sales Revenue ($):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</si>
</sst>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2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0" xfId="0" applyFont="1" applyFill="1" applyBorder="1"/>
    <xf numFmtId="0" fontId="5" fillId="0" borderId="0" xfId="0" applyFont="1"/>
    <xf numFmtId="164" fontId="5" fillId="0" borderId="0" xfId="0" applyNumberFormat="1" applyFont="1"/>
    <xf numFmtId="0" fontId="0" fillId="0" borderId="2" xfId="0" applyBorder="1"/>
    <xf numFmtId="9" fontId="0" fillId="0" borderId="2" xfId="2" applyFont="1" applyBorder="1"/>
    <xf numFmtId="9" fontId="0" fillId="0" borderId="2" xfId="0" applyNumberFormat="1" applyBorder="1"/>
    <xf numFmtId="0" fontId="2" fillId="2" borderId="2" xfId="0" applyFont="1" applyFill="1" applyBorder="1"/>
    <xf numFmtId="0" fontId="0" fillId="3" borderId="6" xfId="0" applyFill="1" applyBorder="1"/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/>
    <xf numFmtId="0" fontId="8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2" fillId="5" borderId="7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4" borderId="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/>
    <xf numFmtId="0" fontId="8" fillId="4" borderId="7" xfId="0" applyFont="1" applyFill="1" applyBorder="1"/>
    <xf numFmtId="0" fontId="4" fillId="4" borderId="14" xfId="0" applyFont="1" applyFill="1" applyBorder="1" applyAlignment="1">
      <alignment horizontal="center"/>
    </xf>
    <xf numFmtId="0" fontId="4" fillId="4" borderId="14" xfId="0" applyFont="1" applyFill="1" applyBorder="1"/>
    <xf numFmtId="0" fontId="4" fillId="4" borderId="8" xfId="0" applyFont="1" applyFill="1" applyBorder="1"/>
    <xf numFmtId="0" fontId="5" fillId="0" borderId="0" xfId="0" applyFont="1" applyAlignment="1">
      <alignment horizontal="center"/>
    </xf>
    <xf numFmtId="164" fontId="5" fillId="0" borderId="0" xfId="1" applyNumberFormat="1" applyFont="1"/>
    <xf numFmtId="0" fontId="2" fillId="6" borderId="2" xfId="0" applyFont="1" applyFill="1" applyBorder="1"/>
    <xf numFmtId="0" fontId="2" fillId="6" borderId="2" xfId="0" applyFont="1" applyFill="1" applyBorder="1" applyAlignment="1">
      <alignment horizontal="center"/>
    </xf>
    <xf numFmtId="0" fontId="9" fillId="0" borderId="2" xfId="0" applyFont="1" applyBorder="1"/>
    <xf numFmtId="0" fontId="0" fillId="0" borderId="0" xfId="0" applyBorder="1" applyAlignment="1"/>
    <xf numFmtId="0" fontId="2" fillId="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247650</xdr:colOff>
      <xdr:row>6</xdr:row>
      <xdr:rowOff>57150</xdr:rowOff>
    </xdr:from>
    <xdr:to>
      <xdr:col>9</xdr:col>
      <xdr:colOff>552918</xdr:colOff>
      <xdr:row>10</xdr:row>
      <xdr:rowOff>104888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50" y="1200150"/>
          <a:ext cx="3353268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16</xdr:row>
          <xdr:rowOff>133350</xdr:rowOff>
        </xdr:from>
        <xdr:to>
          <xdr:col>5</xdr:col>
          <xdr:colOff>523875</xdr:colOff>
          <xdr:row>19</xdr:row>
          <xdr:rowOff>66675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H20" sqref="H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L15" sqref="L15"/>
    </sheetView>
  </sheetViews>
  <sheetFormatPr defaultRowHeight="15" x14ac:dyDescent="0.25"/>
  <sheetData>
    <row r="1" spans="1:22" x14ac:dyDescent="0.25">
      <c r="B1" t="s">
        <v>13</v>
      </c>
      <c r="C1" t="s">
        <v>14</v>
      </c>
      <c r="D1" t="s">
        <v>15</v>
      </c>
      <c r="E1" t="s">
        <v>16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</row>
    <row r="2" spans="1:22" x14ac:dyDescent="0.25">
      <c r="A2" t="s">
        <v>0</v>
      </c>
      <c r="B2" s="2">
        <f ca="1">INDIRECT("'"&amp;B$1&amp;"'!"&amp;$V2)</f>
        <v>785.21221923828125</v>
      </c>
      <c r="C2" s="2">
        <f t="shared" ref="C2:U13" ca="1" si="0">INDIRECT("'"&amp;C$1&amp;"'!"&amp;$V2)</f>
        <v>0</v>
      </c>
      <c r="D2" s="2">
        <f t="shared" ca="1" si="0"/>
        <v>0</v>
      </c>
      <c r="E2" s="2">
        <f t="shared" ca="1" si="0"/>
        <v>0</v>
      </c>
      <c r="F2" s="2">
        <f t="shared" ca="1" si="0"/>
        <v>0</v>
      </c>
      <c r="G2" s="2">
        <f t="shared" ca="1" si="0"/>
        <v>0</v>
      </c>
      <c r="H2" s="2">
        <f t="shared" ca="1" si="0"/>
        <v>0</v>
      </c>
      <c r="I2" s="2">
        <f t="shared" ca="1" si="0"/>
        <v>0</v>
      </c>
      <c r="J2" s="2">
        <f t="shared" ca="1" si="0"/>
        <v>0</v>
      </c>
      <c r="K2" s="2">
        <f t="shared" ca="1" si="0"/>
        <v>0</v>
      </c>
      <c r="L2" s="2">
        <f t="shared" ca="1" si="0"/>
        <v>0</v>
      </c>
      <c r="M2" s="2">
        <f t="shared" ca="1" si="0"/>
        <v>0</v>
      </c>
      <c r="N2" s="2">
        <f t="shared" ca="1" si="0"/>
        <v>0</v>
      </c>
      <c r="O2" s="2">
        <f t="shared" ca="1" si="0"/>
        <v>0</v>
      </c>
      <c r="P2" s="2">
        <f t="shared" ca="1" si="0"/>
        <v>0</v>
      </c>
      <c r="Q2" s="2">
        <f t="shared" ca="1" si="0"/>
        <v>0</v>
      </c>
      <c r="R2" s="2">
        <f t="shared" ca="1" si="0"/>
        <v>0</v>
      </c>
      <c r="S2" s="2">
        <f t="shared" ca="1" si="0"/>
        <v>0</v>
      </c>
      <c r="T2" s="2">
        <f t="shared" ca="1" si="0"/>
        <v>0</v>
      </c>
      <c r="U2" s="2">
        <f t="shared" ca="1" si="0"/>
        <v>0</v>
      </c>
      <c r="V2" s="6" t="s">
        <v>17</v>
      </c>
    </row>
    <row r="3" spans="1:22" x14ac:dyDescent="0.25">
      <c r="A3" t="s">
        <v>1</v>
      </c>
      <c r="B3" s="2">
        <f t="shared" ref="B3:Q13" ca="1" si="1">INDIRECT("'"&amp;B$1&amp;"'!"&amp;$V3)</f>
        <v>378.90255737304687</v>
      </c>
      <c r="C3" s="2">
        <f t="shared" ca="1" si="1"/>
        <v>0</v>
      </c>
      <c r="D3" s="2">
        <f t="shared" ca="1" si="1"/>
        <v>0</v>
      </c>
      <c r="E3" s="2">
        <f t="shared" ca="1" si="1"/>
        <v>0</v>
      </c>
      <c r="F3" s="2">
        <f t="shared" ca="1" si="1"/>
        <v>0</v>
      </c>
      <c r="G3" s="2">
        <f t="shared" ca="1" si="1"/>
        <v>0</v>
      </c>
      <c r="H3" s="2">
        <f t="shared" ca="1" si="1"/>
        <v>0</v>
      </c>
      <c r="I3" s="2">
        <f t="shared" ca="1" si="1"/>
        <v>0</v>
      </c>
      <c r="J3" s="2">
        <f t="shared" ca="1" si="1"/>
        <v>0</v>
      </c>
      <c r="K3" s="2">
        <f t="shared" ca="1" si="1"/>
        <v>0</v>
      </c>
      <c r="L3" s="2">
        <f t="shared" ca="1" si="1"/>
        <v>0</v>
      </c>
      <c r="M3" s="2">
        <f t="shared" ca="1" si="1"/>
        <v>0</v>
      </c>
      <c r="N3" s="2">
        <f t="shared" ca="1" si="1"/>
        <v>0</v>
      </c>
      <c r="O3" s="2">
        <f t="shared" ca="1" si="1"/>
        <v>0</v>
      </c>
      <c r="P3" s="2">
        <f t="shared" ca="1" si="1"/>
        <v>0</v>
      </c>
      <c r="Q3" s="2">
        <f t="shared" ca="1" si="1"/>
        <v>0</v>
      </c>
      <c r="R3" s="2">
        <f t="shared" ca="1" si="0"/>
        <v>0</v>
      </c>
      <c r="S3" s="2">
        <f t="shared" ca="1" si="0"/>
        <v>0</v>
      </c>
      <c r="T3" s="2">
        <f t="shared" ca="1" si="0"/>
        <v>0</v>
      </c>
      <c r="U3" s="2">
        <f t="shared" ca="1" si="0"/>
        <v>0</v>
      </c>
      <c r="V3" s="6" t="s">
        <v>18</v>
      </c>
    </row>
    <row r="4" spans="1:22" x14ac:dyDescent="0.25">
      <c r="A4" t="s">
        <v>2</v>
      </c>
      <c r="B4" s="2">
        <f t="shared" ca="1" si="1"/>
        <v>289.6650390625</v>
      </c>
      <c r="C4" s="2">
        <f t="shared" ca="1" si="1"/>
        <v>0</v>
      </c>
      <c r="D4" s="2">
        <f t="shared" ca="1" si="1"/>
        <v>0</v>
      </c>
      <c r="E4" s="2">
        <f t="shared" ca="1" si="1"/>
        <v>0</v>
      </c>
      <c r="F4" s="2">
        <f t="shared" ca="1" si="1"/>
        <v>0</v>
      </c>
      <c r="G4" s="2">
        <f t="shared" ca="1" si="1"/>
        <v>0</v>
      </c>
      <c r="H4" s="2">
        <f t="shared" ca="1" si="1"/>
        <v>0</v>
      </c>
      <c r="I4" s="2">
        <f t="shared" ca="1" si="1"/>
        <v>0</v>
      </c>
      <c r="J4" s="2">
        <f t="shared" ca="1" si="1"/>
        <v>0</v>
      </c>
      <c r="K4" s="2">
        <f t="shared" ca="1" si="1"/>
        <v>0</v>
      </c>
      <c r="L4" s="2">
        <f t="shared" ca="1" si="0"/>
        <v>0</v>
      </c>
      <c r="M4" s="2">
        <f t="shared" ca="1" si="0"/>
        <v>0</v>
      </c>
      <c r="N4" s="2">
        <f t="shared" ca="1" si="0"/>
        <v>0</v>
      </c>
      <c r="O4" s="2">
        <f t="shared" ca="1" si="0"/>
        <v>0</v>
      </c>
      <c r="P4" s="2">
        <f t="shared" ca="1" si="0"/>
        <v>0</v>
      </c>
      <c r="Q4" s="2">
        <f t="shared" ca="1" si="0"/>
        <v>0</v>
      </c>
      <c r="R4" s="2">
        <f t="shared" ca="1" si="0"/>
        <v>0</v>
      </c>
      <c r="S4" s="2">
        <f t="shared" ca="1" si="0"/>
        <v>0</v>
      </c>
      <c r="T4" s="2">
        <f t="shared" ca="1" si="0"/>
        <v>0</v>
      </c>
      <c r="U4" s="2">
        <f t="shared" ca="1" si="0"/>
        <v>0</v>
      </c>
      <c r="V4" s="6" t="s">
        <v>19</v>
      </c>
    </row>
    <row r="5" spans="1:22" x14ac:dyDescent="0.25">
      <c r="A5" t="s">
        <v>3</v>
      </c>
      <c r="B5" s="2">
        <f t="shared" ca="1" si="1"/>
        <v>919.3770751953125</v>
      </c>
      <c r="C5" s="2">
        <f t="shared" ca="1" si="1"/>
        <v>0</v>
      </c>
      <c r="D5" s="2">
        <f t="shared" ca="1" si="1"/>
        <v>0</v>
      </c>
      <c r="E5" s="2">
        <f t="shared" ca="1" si="1"/>
        <v>0</v>
      </c>
      <c r="F5" s="2">
        <f t="shared" ca="1" si="1"/>
        <v>0</v>
      </c>
      <c r="G5" s="2">
        <f t="shared" ca="1" si="1"/>
        <v>0</v>
      </c>
      <c r="H5" s="2">
        <f t="shared" ca="1" si="1"/>
        <v>0</v>
      </c>
      <c r="I5" s="2">
        <f t="shared" ca="1" si="1"/>
        <v>0</v>
      </c>
      <c r="J5" s="2">
        <f t="shared" ca="1" si="1"/>
        <v>0</v>
      </c>
      <c r="K5" s="2">
        <f t="shared" ca="1" si="1"/>
        <v>0</v>
      </c>
      <c r="L5" s="2">
        <f t="shared" ca="1" si="0"/>
        <v>0</v>
      </c>
      <c r="M5" s="2">
        <f t="shared" ca="1" si="0"/>
        <v>0</v>
      </c>
      <c r="N5" s="2">
        <f t="shared" ca="1" si="0"/>
        <v>0</v>
      </c>
      <c r="O5" s="2">
        <f t="shared" ca="1" si="0"/>
        <v>0</v>
      </c>
      <c r="P5" s="2">
        <f t="shared" ca="1" si="0"/>
        <v>0</v>
      </c>
      <c r="Q5" s="2">
        <f t="shared" ca="1" si="0"/>
        <v>0</v>
      </c>
      <c r="R5" s="2">
        <f t="shared" ca="1" si="0"/>
        <v>0</v>
      </c>
      <c r="S5" s="2">
        <f t="shared" ca="1" si="0"/>
        <v>0</v>
      </c>
      <c r="T5" s="2">
        <f t="shared" ca="1" si="0"/>
        <v>0</v>
      </c>
      <c r="U5" s="2">
        <f t="shared" ca="1" si="0"/>
        <v>0</v>
      </c>
      <c r="V5" s="6" t="s">
        <v>20</v>
      </c>
    </row>
    <row r="6" spans="1:22" x14ac:dyDescent="0.25">
      <c r="A6" t="s">
        <v>4</v>
      </c>
      <c r="B6" s="2">
        <f t="shared" ca="1" si="1"/>
        <v>631.742431640625</v>
      </c>
      <c r="C6" s="2">
        <f t="shared" ca="1" si="1"/>
        <v>0</v>
      </c>
      <c r="D6" s="2">
        <f t="shared" ca="1" si="1"/>
        <v>0</v>
      </c>
      <c r="E6" s="2">
        <f t="shared" ca="1" si="1"/>
        <v>0</v>
      </c>
      <c r="F6" s="2">
        <f t="shared" ca="1" si="1"/>
        <v>0</v>
      </c>
      <c r="G6" s="2">
        <f t="shared" ca="1" si="1"/>
        <v>0</v>
      </c>
      <c r="H6" s="2">
        <f t="shared" ca="1" si="1"/>
        <v>0</v>
      </c>
      <c r="I6" s="2">
        <f t="shared" ca="1" si="1"/>
        <v>0</v>
      </c>
      <c r="J6" s="2">
        <f t="shared" ca="1" si="1"/>
        <v>0</v>
      </c>
      <c r="K6" s="2">
        <f t="shared" ca="1" si="1"/>
        <v>0</v>
      </c>
      <c r="L6" s="2">
        <f t="shared" ca="1" si="0"/>
        <v>0</v>
      </c>
      <c r="M6" s="2">
        <f t="shared" ca="1" si="0"/>
        <v>0</v>
      </c>
      <c r="N6" s="2">
        <f t="shared" ca="1" si="0"/>
        <v>0</v>
      </c>
      <c r="O6" s="2">
        <f t="shared" ca="1" si="0"/>
        <v>0</v>
      </c>
      <c r="P6" s="2">
        <f t="shared" ca="1" si="0"/>
        <v>0</v>
      </c>
      <c r="Q6" s="2">
        <f t="shared" ca="1" si="0"/>
        <v>0</v>
      </c>
      <c r="R6" s="2">
        <f t="shared" ca="1" si="0"/>
        <v>0</v>
      </c>
      <c r="S6" s="2">
        <f t="shared" ca="1" si="0"/>
        <v>0</v>
      </c>
      <c r="T6" s="2">
        <f t="shared" ca="1" si="0"/>
        <v>0</v>
      </c>
      <c r="U6" s="2">
        <f t="shared" ca="1" si="0"/>
        <v>0</v>
      </c>
      <c r="V6" s="6" t="s">
        <v>21</v>
      </c>
    </row>
    <row r="7" spans="1:22" x14ac:dyDescent="0.25">
      <c r="A7" t="s">
        <v>5</v>
      </c>
      <c r="B7" s="2">
        <f t="shared" ca="1" si="1"/>
        <v>627.64202880859375</v>
      </c>
      <c r="C7" s="2">
        <f t="shared" ca="1" si="1"/>
        <v>0</v>
      </c>
      <c r="D7" s="2">
        <f t="shared" ca="1" si="1"/>
        <v>0</v>
      </c>
      <c r="E7" s="2">
        <f t="shared" ca="1" si="1"/>
        <v>0</v>
      </c>
      <c r="F7" s="2">
        <f t="shared" ca="1" si="1"/>
        <v>0</v>
      </c>
      <c r="G7" s="2">
        <f t="shared" ca="1" si="1"/>
        <v>0</v>
      </c>
      <c r="H7" s="2">
        <f t="shared" ca="1" si="1"/>
        <v>0</v>
      </c>
      <c r="I7" s="2">
        <f t="shared" ca="1" si="1"/>
        <v>0</v>
      </c>
      <c r="J7" s="2">
        <f t="shared" ca="1" si="1"/>
        <v>0</v>
      </c>
      <c r="K7" s="2">
        <f t="shared" ca="1" si="1"/>
        <v>0</v>
      </c>
      <c r="L7" s="2">
        <f t="shared" ca="1" si="0"/>
        <v>0</v>
      </c>
      <c r="M7" s="2">
        <f t="shared" ca="1" si="0"/>
        <v>0</v>
      </c>
      <c r="N7" s="2">
        <f t="shared" ca="1" si="0"/>
        <v>0</v>
      </c>
      <c r="O7" s="2">
        <f t="shared" ca="1" si="0"/>
        <v>0</v>
      </c>
      <c r="P7" s="2">
        <f t="shared" ca="1" si="0"/>
        <v>0</v>
      </c>
      <c r="Q7" s="2">
        <f t="shared" ca="1" si="0"/>
        <v>0</v>
      </c>
      <c r="R7" s="2">
        <f t="shared" ca="1" si="0"/>
        <v>0</v>
      </c>
      <c r="S7" s="2">
        <f t="shared" ca="1" si="0"/>
        <v>0</v>
      </c>
      <c r="T7" s="2">
        <f t="shared" ca="1" si="0"/>
        <v>0</v>
      </c>
      <c r="U7" s="2">
        <f t="shared" ca="1" si="0"/>
        <v>0</v>
      </c>
      <c r="V7" s="6" t="s">
        <v>22</v>
      </c>
    </row>
    <row r="8" spans="1:22" x14ac:dyDescent="0.25">
      <c r="A8" t="s">
        <v>6</v>
      </c>
      <c r="B8" s="2">
        <f t="shared" ca="1" si="1"/>
        <v>428.45635986328125</v>
      </c>
      <c r="C8" s="2">
        <f t="shared" ca="1" si="1"/>
        <v>0</v>
      </c>
      <c r="D8" s="2">
        <f t="shared" ca="1" si="1"/>
        <v>0</v>
      </c>
      <c r="E8" s="2">
        <f t="shared" ca="1" si="1"/>
        <v>0</v>
      </c>
      <c r="F8" s="2">
        <f t="shared" ca="1" si="1"/>
        <v>0</v>
      </c>
      <c r="G8" s="2">
        <f t="shared" ca="1" si="1"/>
        <v>0</v>
      </c>
      <c r="H8" s="2">
        <f t="shared" ca="1" si="1"/>
        <v>0</v>
      </c>
      <c r="I8" s="2">
        <f t="shared" ca="1" si="1"/>
        <v>0</v>
      </c>
      <c r="J8" s="2">
        <f t="shared" ca="1" si="1"/>
        <v>0</v>
      </c>
      <c r="K8" s="2">
        <f t="shared" ca="1" si="1"/>
        <v>0</v>
      </c>
      <c r="L8" s="2">
        <f t="shared" ca="1" si="0"/>
        <v>0</v>
      </c>
      <c r="M8" s="2">
        <f t="shared" ca="1" si="0"/>
        <v>0</v>
      </c>
      <c r="N8" s="2">
        <f t="shared" ca="1" si="0"/>
        <v>0</v>
      </c>
      <c r="O8" s="2">
        <f t="shared" ca="1" si="0"/>
        <v>0</v>
      </c>
      <c r="P8" s="2">
        <f t="shared" ca="1" si="0"/>
        <v>0</v>
      </c>
      <c r="Q8" s="2">
        <f t="shared" ca="1" si="0"/>
        <v>0</v>
      </c>
      <c r="R8" s="2">
        <f t="shared" ca="1" si="0"/>
        <v>0</v>
      </c>
      <c r="S8" s="2">
        <f t="shared" ca="1" si="0"/>
        <v>0</v>
      </c>
      <c r="T8" s="2">
        <f t="shared" ca="1" si="0"/>
        <v>0</v>
      </c>
      <c r="U8" s="2">
        <f t="shared" ca="1" si="0"/>
        <v>0</v>
      </c>
      <c r="V8" s="6" t="s">
        <v>23</v>
      </c>
    </row>
    <row r="9" spans="1:22" x14ac:dyDescent="0.25">
      <c r="A9" t="s">
        <v>7</v>
      </c>
      <c r="B9" s="2">
        <f t="shared" ca="1" si="1"/>
        <v>97.973823547363281</v>
      </c>
      <c r="C9" s="2">
        <f t="shared" ca="1" si="1"/>
        <v>0</v>
      </c>
      <c r="D9" s="2">
        <f t="shared" ca="1" si="1"/>
        <v>0</v>
      </c>
      <c r="E9" s="2">
        <f t="shared" ca="1" si="1"/>
        <v>0</v>
      </c>
      <c r="F9" s="2">
        <f t="shared" ca="1" si="1"/>
        <v>0</v>
      </c>
      <c r="G9" s="2">
        <f t="shared" ca="1" si="1"/>
        <v>0</v>
      </c>
      <c r="H9" s="2">
        <f t="shared" ca="1" si="1"/>
        <v>0</v>
      </c>
      <c r="I9" s="2">
        <f t="shared" ca="1" si="1"/>
        <v>0</v>
      </c>
      <c r="J9" s="2">
        <f t="shared" ca="1" si="1"/>
        <v>0</v>
      </c>
      <c r="K9" s="2">
        <f t="shared" ca="1" si="1"/>
        <v>0</v>
      </c>
      <c r="L9" s="2">
        <f t="shared" ca="1" si="0"/>
        <v>0</v>
      </c>
      <c r="M9" s="2">
        <f t="shared" ca="1" si="0"/>
        <v>0</v>
      </c>
      <c r="N9" s="2">
        <f t="shared" ca="1" si="0"/>
        <v>0</v>
      </c>
      <c r="O9" s="2">
        <f t="shared" ca="1" si="0"/>
        <v>0</v>
      </c>
      <c r="P9" s="2">
        <f t="shared" ca="1" si="0"/>
        <v>0</v>
      </c>
      <c r="Q9" s="2">
        <f t="shared" ca="1" si="0"/>
        <v>0</v>
      </c>
      <c r="R9" s="2">
        <f t="shared" ca="1" si="0"/>
        <v>0</v>
      </c>
      <c r="S9" s="2">
        <f t="shared" ca="1" si="0"/>
        <v>0</v>
      </c>
      <c r="T9" s="2">
        <f t="shared" ca="1" si="0"/>
        <v>0</v>
      </c>
      <c r="U9" s="2">
        <f t="shared" ca="1" si="0"/>
        <v>0</v>
      </c>
      <c r="V9" s="6" t="s">
        <v>24</v>
      </c>
    </row>
    <row r="10" spans="1:22" x14ac:dyDescent="0.25">
      <c r="A10" t="s">
        <v>8</v>
      </c>
      <c r="B10" s="2">
        <f t="shared" ca="1" si="1"/>
        <v>561.04010009765625</v>
      </c>
      <c r="C10" s="2">
        <f t="shared" ca="1" si="1"/>
        <v>0</v>
      </c>
      <c r="D10" s="2">
        <f t="shared" ca="1" si="1"/>
        <v>0</v>
      </c>
      <c r="E10" s="2">
        <f t="shared" ca="1" si="1"/>
        <v>0</v>
      </c>
      <c r="F10" s="2">
        <f t="shared" ca="1" si="1"/>
        <v>0</v>
      </c>
      <c r="G10" s="2">
        <f t="shared" ca="1" si="1"/>
        <v>0</v>
      </c>
      <c r="H10" s="2">
        <f t="shared" ca="1" si="1"/>
        <v>0</v>
      </c>
      <c r="I10" s="2">
        <f t="shared" ca="1" si="1"/>
        <v>0</v>
      </c>
      <c r="J10" s="2">
        <f t="shared" ca="1" si="1"/>
        <v>0</v>
      </c>
      <c r="K10" s="2">
        <f t="shared" ca="1" si="1"/>
        <v>0</v>
      </c>
      <c r="L10" s="2">
        <f t="shared" ca="1" si="0"/>
        <v>0</v>
      </c>
      <c r="M10" s="2">
        <f t="shared" ca="1" si="0"/>
        <v>0</v>
      </c>
      <c r="N10" s="2">
        <f t="shared" ca="1" si="0"/>
        <v>0</v>
      </c>
      <c r="O10" s="2">
        <f t="shared" ca="1" si="0"/>
        <v>0</v>
      </c>
      <c r="P10" s="2">
        <f t="shared" ca="1" si="0"/>
        <v>0</v>
      </c>
      <c r="Q10" s="2">
        <f t="shared" ca="1" si="0"/>
        <v>0</v>
      </c>
      <c r="R10" s="2">
        <f t="shared" ca="1" si="0"/>
        <v>0</v>
      </c>
      <c r="S10" s="2">
        <f t="shared" ca="1" si="0"/>
        <v>0</v>
      </c>
      <c r="T10" s="2">
        <f t="shared" ca="1" si="0"/>
        <v>0</v>
      </c>
      <c r="U10" s="2">
        <f t="shared" ca="1" si="0"/>
        <v>0</v>
      </c>
      <c r="V10" s="6" t="s">
        <v>25</v>
      </c>
    </row>
    <row r="11" spans="1:22" x14ac:dyDescent="0.25">
      <c r="A11" t="s">
        <v>9</v>
      </c>
      <c r="B11" s="2">
        <f t="shared" ca="1" si="1"/>
        <v>694.48529052734375</v>
      </c>
      <c r="C11" s="2">
        <f t="shared" ca="1" si="1"/>
        <v>0</v>
      </c>
      <c r="D11" s="2">
        <f t="shared" ca="1" si="1"/>
        <v>0</v>
      </c>
      <c r="E11" s="2">
        <f t="shared" ca="1" si="1"/>
        <v>0</v>
      </c>
      <c r="F11" s="2">
        <f t="shared" ca="1" si="1"/>
        <v>0</v>
      </c>
      <c r="G11" s="2">
        <f t="shared" ca="1" si="1"/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0"/>
        <v>0</v>
      </c>
      <c r="M11" s="2">
        <f t="shared" ca="1" si="0"/>
        <v>0</v>
      </c>
      <c r="N11" s="2">
        <f t="shared" ca="1" si="0"/>
        <v>0</v>
      </c>
      <c r="O11" s="2">
        <f t="shared" ca="1" si="0"/>
        <v>0</v>
      </c>
      <c r="P11" s="2">
        <f t="shared" ca="1" si="0"/>
        <v>0</v>
      </c>
      <c r="Q11" s="2">
        <f t="shared" ca="1" si="0"/>
        <v>0</v>
      </c>
      <c r="R11" s="2">
        <f t="shared" ca="1" si="0"/>
        <v>0</v>
      </c>
      <c r="S11" s="2">
        <f t="shared" ca="1" si="0"/>
        <v>0</v>
      </c>
      <c r="T11" s="2">
        <f t="shared" ca="1" si="0"/>
        <v>0</v>
      </c>
      <c r="U11" s="2">
        <f t="shared" ca="1" si="0"/>
        <v>0</v>
      </c>
      <c r="V11" s="6" t="s">
        <v>26</v>
      </c>
    </row>
    <row r="12" spans="1:22" x14ac:dyDescent="0.25">
      <c r="A12" t="s">
        <v>10</v>
      </c>
      <c r="B12" s="2">
        <f t="shared" ca="1" si="1"/>
        <v>913.71759033203125</v>
      </c>
      <c r="C12" s="2">
        <f t="shared" ca="1" si="1"/>
        <v>0</v>
      </c>
      <c r="D12" s="2">
        <f t="shared" ca="1" si="1"/>
        <v>0</v>
      </c>
      <c r="E12" s="2">
        <f t="shared" ca="1" si="1"/>
        <v>0</v>
      </c>
      <c r="F12" s="2">
        <f t="shared" ca="1" si="1"/>
        <v>0</v>
      </c>
      <c r="G12" s="2">
        <f t="shared" ca="1" si="1"/>
        <v>0</v>
      </c>
      <c r="H12" s="2">
        <f t="shared" ca="1" si="1"/>
        <v>0</v>
      </c>
      <c r="I12" s="2">
        <f t="shared" ca="1" si="1"/>
        <v>0</v>
      </c>
      <c r="J12" s="2">
        <f t="shared" ca="1" si="1"/>
        <v>0</v>
      </c>
      <c r="K12" s="2">
        <f t="shared" ca="1" si="1"/>
        <v>0</v>
      </c>
      <c r="L12" s="2">
        <f t="shared" ca="1" si="0"/>
        <v>0</v>
      </c>
      <c r="M12" s="2">
        <f t="shared" ca="1" si="0"/>
        <v>0</v>
      </c>
      <c r="N12" s="2">
        <f t="shared" ca="1" si="0"/>
        <v>0</v>
      </c>
      <c r="O12" s="2">
        <f t="shared" ca="1" si="0"/>
        <v>0</v>
      </c>
      <c r="P12" s="2">
        <f t="shared" ca="1" si="0"/>
        <v>0</v>
      </c>
      <c r="Q12" s="2">
        <f t="shared" ca="1" si="0"/>
        <v>0</v>
      </c>
      <c r="R12" s="2">
        <f t="shared" ca="1" si="0"/>
        <v>0</v>
      </c>
      <c r="S12" s="2">
        <f t="shared" ca="1" si="0"/>
        <v>0</v>
      </c>
      <c r="T12" s="2">
        <f t="shared" ca="1" si="0"/>
        <v>0</v>
      </c>
      <c r="U12" s="2">
        <f t="shared" ca="1" si="0"/>
        <v>0</v>
      </c>
      <c r="V12" s="6" t="s">
        <v>27</v>
      </c>
    </row>
    <row r="13" spans="1:22" s="4" customFormat="1" x14ac:dyDescent="0.25">
      <c r="A13" s="4" t="s">
        <v>11</v>
      </c>
      <c r="B13" s="5">
        <f t="shared" ca="1" si="1"/>
        <v>834.81719970703125</v>
      </c>
      <c r="C13" s="5">
        <f t="shared" ca="1" si="1"/>
        <v>0</v>
      </c>
      <c r="D13" s="5">
        <f t="shared" ca="1" si="1"/>
        <v>0</v>
      </c>
      <c r="E13" s="5">
        <f t="shared" ca="1" si="1"/>
        <v>0</v>
      </c>
      <c r="F13" s="5">
        <f t="shared" ca="1" si="1"/>
        <v>0</v>
      </c>
      <c r="G13" s="5">
        <f t="shared" ca="1" si="1"/>
        <v>0</v>
      </c>
      <c r="H13" s="5">
        <f t="shared" ca="1" si="1"/>
        <v>0</v>
      </c>
      <c r="I13" s="5">
        <f t="shared" ca="1" si="1"/>
        <v>0</v>
      </c>
      <c r="J13" s="5">
        <f t="shared" ca="1" si="1"/>
        <v>0</v>
      </c>
      <c r="K13" s="5">
        <f t="shared" ca="1" si="1"/>
        <v>0</v>
      </c>
      <c r="L13" s="5">
        <f t="shared" ca="1" si="0"/>
        <v>0</v>
      </c>
      <c r="M13" s="5">
        <f t="shared" ca="1" si="0"/>
        <v>0</v>
      </c>
      <c r="N13" s="5">
        <f t="shared" ca="1" si="0"/>
        <v>0</v>
      </c>
      <c r="O13" s="5">
        <f t="shared" ca="1" si="0"/>
        <v>0</v>
      </c>
      <c r="P13" s="5">
        <f t="shared" ca="1" si="0"/>
        <v>0</v>
      </c>
      <c r="Q13" s="5">
        <f t="shared" ca="1" si="0"/>
        <v>0</v>
      </c>
      <c r="R13" s="5">
        <f t="shared" ca="1" si="0"/>
        <v>0</v>
      </c>
      <c r="S13" s="5">
        <f t="shared" ca="1" si="0"/>
        <v>0</v>
      </c>
      <c r="T13" s="5">
        <f t="shared" ca="1" si="0"/>
        <v>0</v>
      </c>
      <c r="U13" s="5">
        <f t="shared" ca="1" si="0"/>
        <v>0</v>
      </c>
      <c r="V13" s="7" t="s">
        <v>28</v>
      </c>
    </row>
    <row r="14" spans="1:22" x14ac:dyDescent="0.25">
      <c r="A14" s="1" t="s">
        <v>12</v>
      </c>
      <c r="B14" s="3">
        <f ca="1">SUM(B2:B13)</f>
        <v>7163.0317153930664</v>
      </c>
      <c r="C14" s="3">
        <f t="shared" ref="C14:K14" ca="1" si="2">SUM(C2:C13)</f>
        <v>0</v>
      </c>
      <c r="D14" s="3">
        <f t="shared" ca="1" si="2"/>
        <v>0</v>
      </c>
      <c r="E14" s="3">
        <f t="shared" ca="1" si="2"/>
        <v>0</v>
      </c>
      <c r="F14" s="3">
        <f t="shared" ca="1" si="2"/>
        <v>0</v>
      </c>
      <c r="G14" s="3">
        <f t="shared" ca="1" si="2"/>
        <v>0</v>
      </c>
      <c r="H14" s="3">
        <f t="shared" ca="1" si="2"/>
        <v>0</v>
      </c>
      <c r="I14" s="3">
        <f t="shared" ca="1" si="2"/>
        <v>0</v>
      </c>
      <c r="J14" s="3">
        <f t="shared" ca="1" si="2"/>
        <v>0</v>
      </c>
      <c r="K14" s="3">
        <f t="shared" ca="1" si="2"/>
        <v>0</v>
      </c>
      <c r="L14" s="3">
        <f t="shared" ref="L14:U14" ca="1" si="3">SUM(L2:L13)</f>
        <v>0</v>
      </c>
      <c r="M14" s="3">
        <f t="shared" ca="1" si="3"/>
        <v>0</v>
      </c>
      <c r="N14" s="3">
        <f t="shared" ca="1" si="3"/>
        <v>0</v>
      </c>
      <c r="O14" s="3">
        <f t="shared" ca="1" si="3"/>
        <v>0</v>
      </c>
      <c r="P14" s="3">
        <f t="shared" ca="1" si="3"/>
        <v>0</v>
      </c>
      <c r="Q14" s="3">
        <f t="shared" ca="1" si="3"/>
        <v>0</v>
      </c>
      <c r="R14" s="3">
        <f t="shared" ca="1" si="3"/>
        <v>0</v>
      </c>
      <c r="S14" s="3">
        <f t="shared" ca="1" si="3"/>
        <v>0</v>
      </c>
      <c r="T14" s="3">
        <f t="shared" ca="1" si="3"/>
        <v>0</v>
      </c>
      <c r="U14" s="3">
        <f t="shared" ca="1" si="3"/>
        <v>0</v>
      </c>
    </row>
    <row r="15" spans="1:22" s="9" customFormat="1" x14ac:dyDescent="0.25">
      <c r="A15" s="8" t="s">
        <v>47</v>
      </c>
      <c r="B15" s="10">
        <f ca="1">SUM(INDIRECT("'"&amp;B$1&amp;"'!"&amp;"B2:B13"))</f>
        <v>7163.0317153930664</v>
      </c>
      <c r="C15" s="10">
        <f t="shared" ref="C15:U15" ca="1" si="4">SUM(INDIRECT("'"&amp;C$1&amp;"'!"&amp;"B2:B13"))</f>
        <v>0</v>
      </c>
      <c r="D15" s="10">
        <f t="shared" ca="1" si="4"/>
        <v>0</v>
      </c>
      <c r="E15" s="10">
        <f t="shared" ca="1" si="4"/>
        <v>0</v>
      </c>
      <c r="F15" s="10">
        <f t="shared" ca="1" si="4"/>
        <v>0</v>
      </c>
      <c r="G15" s="10">
        <f t="shared" ca="1" si="4"/>
        <v>0</v>
      </c>
      <c r="H15" s="10">
        <f t="shared" ca="1" si="4"/>
        <v>0</v>
      </c>
      <c r="I15" s="10">
        <f t="shared" ca="1" si="4"/>
        <v>0</v>
      </c>
      <c r="J15" s="10">
        <f t="shared" ca="1" si="4"/>
        <v>0</v>
      </c>
      <c r="K15" s="10">
        <f t="shared" ca="1" si="4"/>
        <v>0</v>
      </c>
      <c r="L15" s="10">
        <f t="shared" ca="1" si="4"/>
        <v>0</v>
      </c>
      <c r="M15" s="10">
        <f t="shared" ca="1" si="4"/>
        <v>0</v>
      </c>
      <c r="N15" s="10">
        <f t="shared" ca="1" si="4"/>
        <v>0</v>
      </c>
      <c r="O15" s="10">
        <f t="shared" ca="1" si="4"/>
        <v>0</v>
      </c>
      <c r="P15" s="10">
        <f t="shared" ca="1" si="4"/>
        <v>0</v>
      </c>
      <c r="Q15" s="10">
        <f t="shared" ca="1" si="4"/>
        <v>0</v>
      </c>
      <c r="R15" s="10">
        <f t="shared" ca="1" si="4"/>
        <v>0</v>
      </c>
      <c r="S15" s="10">
        <f t="shared" ca="1" si="4"/>
        <v>0</v>
      </c>
      <c r="T15" s="10">
        <f t="shared" ca="1" si="4"/>
        <v>0</v>
      </c>
      <c r="U15" s="10">
        <f t="shared" ca="1" si="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workbookViewId="0">
      <selection activeCell="B13" sqref="B13"/>
    </sheetView>
  </sheetViews>
  <sheetFormatPr defaultRowHeight="15" x14ac:dyDescent="0.25"/>
  <sheetData>
    <row r="1" spans="1:2" x14ac:dyDescent="0.25">
      <c r="A1" t="s">
        <v>45</v>
      </c>
      <c r="B1" t="s">
        <v>46</v>
      </c>
    </row>
    <row r="2" spans="1:2" x14ac:dyDescent="0.25">
      <c r="A2" t="s">
        <v>0</v>
      </c>
      <c r="B2">
        <v>785.21221923828125</v>
      </c>
    </row>
    <row r="3" spans="1:2" x14ac:dyDescent="0.25">
      <c r="A3" t="s">
        <v>1</v>
      </c>
      <c r="B3">
        <v>378.90255737304687</v>
      </c>
    </row>
    <row r="4" spans="1:2" x14ac:dyDescent="0.25">
      <c r="A4" t="s">
        <v>2</v>
      </c>
      <c r="B4">
        <v>289.6650390625</v>
      </c>
    </row>
    <row r="5" spans="1:2" x14ac:dyDescent="0.25">
      <c r="A5" t="s">
        <v>3</v>
      </c>
      <c r="B5">
        <v>919.3770751953125</v>
      </c>
    </row>
    <row r="6" spans="1:2" x14ac:dyDescent="0.25">
      <c r="A6" t="s">
        <v>4</v>
      </c>
      <c r="B6">
        <v>631.742431640625</v>
      </c>
    </row>
    <row r="7" spans="1:2" x14ac:dyDescent="0.25">
      <c r="A7" t="s">
        <v>5</v>
      </c>
      <c r="B7">
        <v>627.64202880859375</v>
      </c>
    </row>
    <row r="8" spans="1:2" x14ac:dyDescent="0.25">
      <c r="A8" t="s">
        <v>6</v>
      </c>
      <c r="B8">
        <v>428.45635986328125</v>
      </c>
    </row>
    <row r="9" spans="1:2" x14ac:dyDescent="0.25">
      <c r="A9" t="s">
        <v>7</v>
      </c>
      <c r="B9">
        <v>97.973823547363281</v>
      </c>
    </row>
    <row r="10" spans="1:2" x14ac:dyDescent="0.25">
      <c r="A10" t="s">
        <v>8</v>
      </c>
      <c r="B10">
        <v>561.04010009765625</v>
      </c>
    </row>
    <row r="11" spans="1:2" x14ac:dyDescent="0.25">
      <c r="A11" t="s">
        <v>9</v>
      </c>
      <c r="B11">
        <v>694.48529052734375</v>
      </c>
    </row>
    <row r="12" spans="1:2" x14ac:dyDescent="0.25">
      <c r="A12" t="s">
        <v>10</v>
      </c>
      <c r="B12">
        <v>913.71759033203125</v>
      </c>
    </row>
    <row r="13" spans="1:2" x14ac:dyDescent="0.25">
      <c r="A13" t="s">
        <v>11</v>
      </c>
      <c r="B13">
        <v>834.81719970703125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24" sqref="C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activeCell="F21" sqref="F21"/>
    </sheetView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D602"/>
  <sheetViews>
    <sheetView workbookViewId="0">
      <selection activeCell="M3" sqref="M3"/>
    </sheetView>
  </sheetViews>
  <sheetFormatPr defaultRowHeight="15" x14ac:dyDescent="0.25"/>
  <cols>
    <col min="1" max="1" width="12.28515625" bestFit="1" customWidth="1"/>
    <col min="2" max="2" width="19.140625" bestFit="1" customWidth="1"/>
    <col min="4" max="4" width="12.28515625" bestFit="1" customWidth="1"/>
    <col min="8" max="8" width="13.42578125" style="27" bestFit="1" customWidth="1"/>
  </cols>
  <sheetData>
    <row r="1" spans="1:108" x14ac:dyDescent="0.25">
      <c r="A1" s="14" t="s">
        <v>66</v>
      </c>
      <c r="B1" s="14" t="s">
        <v>50</v>
      </c>
      <c r="D1" s="54" t="s">
        <v>67</v>
      </c>
      <c r="E1" s="55"/>
      <c r="F1" s="56"/>
      <c r="I1" s="1" t="s">
        <v>68</v>
      </c>
    </row>
    <row r="2" spans="1:108" x14ac:dyDescent="0.25">
      <c r="A2" s="11" t="s">
        <v>48</v>
      </c>
      <c r="B2" s="13">
        <v>0.6</v>
      </c>
      <c r="D2" s="15"/>
      <c r="E2" s="57" t="s">
        <v>66</v>
      </c>
      <c r="F2" s="58"/>
      <c r="H2" s="25" t="s">
        <v>69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  <c r="AC2">
        <v>21</v>
      </c>
      <c r="AD2">
        <v>22</v>
      </c>
      <c r="AE2">
        <v>23</v>
      </c>
      <c r="AF2">
        <v>24</v>
      </c>
      <c r="AG2">
        <v>25</v>
      </c>
      <c r="AH2">
        <v>26</v>
      </c>
      <c r="AI2">
        <v>27</v>
      </c>
      <c r="AJ2">
        <v>28</v>
      </c>
      <c r="AK2">
        <v>29</v>
      </c>
      <c r="AL2">
        <v>30</v>
      </c>
      <c r="AM2">
        <v>31</v>
      </c>
      <c r="AN2">
        <v>32</v>
      </c>
      <c r="AO2">
        <v>33</v>
      </c>
      <c r="AP2">
        <v>34</v>
      </c>
      <c r="AQ2">
        <v>35</v>
      </c>
      <c r="AR2">
        <v>36</v>
      </c>
      <c r="AS2">
        <v>37</v>
      </c>
      <c r="AT2">
        <v>38</v>
      </c>
      <c r="AU2">
        <v>39</v>
      </c>
      <c r="AV2">
        <v>40</v>
      </c>
      <c r="AW2">
        <v>41</v>
      </c>
      <c r="AX2">
        <v>42</v>
      </c>
      <c r="AY2">
        <v>43</v>
      </c>
      <c r="AZ2">
        <v>44</v>
      </c>
      <c r="BA2">
        <v>45</v>
      </c>
      <c r="BB2">
        <v>46</v>
      </c>
      <c r="BC2">
        <v>47</v>
      </c>
      <c r="BD2">
        <v>48</v>
      </c>
      <c r="BE2">
        <v>49</v>
      </c>
      <c r="BF2">
        <v>50</v>
      </c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</row>
    <row r="3" spans="1:108" x14ac:dyDescent="0.25">
      <c r="A3" s="11" t="s">
        <v>49</v>
      </c>
      <c r="B3" s="13">
        <v>0.4</v>
      </c>
      <c r="D3" s="16" t="s">
        <v>65</v>
      </c>
      <c r="E3" s="17" t="s">
        <v>48</v>
      </c>
      <c r="F3" s="18" t="s">
        <v>49</v>
      </c>
      <c r="H3" s="27">
        <v>1</v>
      </c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</row>
    <row r="4" spans="1:108" x14ac:dyDescent="0.25">
      <c r="D4" s="23" t="s">
        <v>57</v>
      </c>
      <c r="E4" s="19">
        <v>70</v>
      </c>
      <c r="F4" s="20">
        <v>84</v>
      </c>
      <c r="H4" s="27">
        <v>2</v>
      </c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</row>
    <row r="5" spans="1:108" x14ac:dyDescent="0.25">
      <c r="A5" s="14" t="s">
        <v>65</v>
      </c>
      <c r="B5" s="14" t="s">
        <v>50</v>
      </c>
      <c r="D5" s="23" t="s">
        <v>56</v>
      </c>
      <c r="E5" s="19">
        <v>80</v>
      </c>
      <c r="F5" s="20">
        <v>96</v>
      </c>
      <c r="H5" s="27">
        <v>3</v>
      </c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</row>
    <row r="6" spans="1:108" x14ac:dyDescent="0.25">
      <c r="A6" s="11" t="s">
        <v>57</v>
      </c>
      <c r="B6" s="12">
        <v>0.05</v>
      </c>
      <c r="D6" s="23" t="s">
        <v>53</v>
      </c>
      <c r="E6" s="19">
        <v>100</v>
      </c>
      <c r="F6" s="20">
        <v>120</v>
      </c>
      <c r="H6" s="27">
        <v>4</v>
      </c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</row>
    <row r="7" spans="1:108" x14ac:dyDescent="0.25">
      <c r="A7" s="11" t="s">
        <v>56</v>
      </c>
      <c r="B7" s="12">
        <v>7.0000000000000007E-2</v>
      </c>
      <c r="D7" s="23" t="s">
        <v>62</v>
      </c>
      <c r="E7" s="19">
        <v>20</v>
      </c>
      <c r="F7" s="20">
        <v>24</v>
      </c>
      <c r="H7" s="27">
        <f>H6+1</f>
        <v>5</v>
      </c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</row>
    <row r="8" spans="1:108" x14ac:dyDescent="0.25">
      <c r="A8" s="11" t="s">
        <v>53</v>
      </c>
      <c r="B8" s="12">
        <v>0.05</v>
      </c>
      <c r="D8" s="23" t="s">
        <v>64</v>
      </c>
      <c r="E8" s="19">
        <v>5</v>
      </c>
      <c r="F8" s="20">
        <v>6</v>
      </c>
      <c r="H8" s="27">
        <f t="shared" ref="H8:H71" si="0">H7+1</f>
        <v>6</v>
      </c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</row>
    <row r="9" spans="1:108" x14ac:dyDescent="0.25">
      <c r="A9" s="11" t="s">
        <v>62</v>
      </c>
      <c r="B9" s="12">
        <v>0.08</v>
      </c>
      <c r="D9" s="23" t="s">
        <v>58</v>
      </c>
      <c r="E9" s="19">
        <v>60</v>
      </c>
      <c r="F9" s="20">
        <v>72</v>
      </c>
      <c r="H9" s="27">
        <f t="shared" si="0"/>
        <v>7</v>
      </c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</row>
    <row r="10" spans="1:108" x14ac:dyDescent="0.25">
      <c r="A10" s="11" t="s">
        <v>64</v>
      </c>
      <c r="B10" s="12">
        <v>0.01</v>
      </c>
      <c r="D10" s="23" t="s">
        <v>54</v>
      </c>
      <c r="E10" s="19">
        <v>100</v>
      </c>
      <c r="F10" s="20">
        <v>120</v>
      </c>
      <c r="H10" s="27">
        <f t="shared" si="0"/>
        <v>8</v>
      </c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</row>
    <row r="11" spans="1:108" x14ac:dyDescent="0.25">
      <c r="A11" s="11" t="s">
        <v>58</v>
      </c>
      <c r="B11" s="12">
        <v>0.01</v>
      </c>
      <c r="D11" s="23" t="s">
        <v>63</v>
      </c>
      <c r="E11" s="19">
        <v>20</v>
      </c>
      <c r="F11" s="20">
        <v>24</v>
      </c>
      <c r="H11" s="27">
        <f t="shared" si="0"/>
        <v>9</v>
      </c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1:108" x14ac:dyDescent="0.25">
      <c r="A12" s="11" t="s">
        <v>54</v>
      </c>
      <c r="B12" s="12">
        <v>6.5000000000000002E-2</v>
      </c>
      <c r="D12" s="23" t="s">
        <v>60</v>
      </c>
      <c r="E12" s="19">
        <v>35</v>
      </c>
      <c r="F12" s="20">
        <v>42</v>
      </c>
      <c r="H12" s="27">
        <f t="shared" si="0"/>
        <v>10</v>
      </c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</row>
    <row r="13" spans="1:108" x14ac:dyDescent="0.25">
      <c r="A13" s="11" t="s">
        <v>63</v>
      </c>
      <c r="B13" s="12">
        <v>0.1</v>
      </c>
      <c r="D13" s="23" t="s">
        <v>51</v>
      </c>
      <c r="E13" s="19">
        <v>200</v>
      </c>
      <c r="F13" s="20">
        <v>240</v>
      </c>
      <c r="H13" s="27">
        <f t="shared" si="0"/>
        <v>11</v>
      </c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</row>
    <row r="14" spans="1:108" x14ac:dyDescent="0.25">
      <c r="A14" s="11" t="s">
        <v>60</v>
      </c>
      <c r="B14" s="12">
        <v>0.3</v>
      </c>
      <c r="D14" s="23" t="s">
        <v>59</v>
      </c>
      <c r="E14" s="19">
        <v>50</v>
      </c>
      <c r="F14" s="20">
        <v>60</v>
      </c>
      <c r="H14" s="27">
        <f t="shared" si="0"/>
        <v>12</v>
      </c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</row>
    <row r="15" spans="1:108" x14ac:dyDescent="0.25">
      <c r="A15" s="11" t="s">
        <v>51</v>
      </c>
      <c r="B15" s="12">
        <v>0.03</v>
      </c>
      <c r="D15" s="23" t="s">
        <v>61</v>
      </c>
      <c r="E15" s="19">
        <v>25</v>
      </c>
      <c r="F15" s="20">
        <v>30</v>
      </c>
      <c r="H15" s="27">
        <f t="shared" si="0"/>
        <v>13</v>
      </c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</row>
    <row r="16" spans="1:108" x14ac:dyDescent="0.25">
      <c r="A16" s="11" t="s">
        <v>59</v>
      </c>
      <c r="B16" s="12">
        <v>5.0000000000000001E-3</v>
      </c>
      <c r="D16" s="23" t="s">
        <v>52</v>
      </c>
      <c r="E16" s="19">
        <v>140</v>
      </c>
      <c r="F16" s="20">
        <v>168</v>
      </c>
      <c r="H16" s="27">
        <f t="shared" si="0"/>
        <v>14</v>
      </c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1:108" x14ac:dyDescent="0.25">
      <c r="A17" s="11" t="s">
        <v>61</v>
      </c>
      <c r="B17" s="12">
        <v>0.1</v>
      </c>
      <c r="D17" s="24" t="s">
        <v>55</v>
      </c>
      <c r="E17" s="21">
        <v>100</v>
      </c>
      <c r="F17" s="22">
        <v>120</v>
      </c>
      <c r="H17" s="27">
        <f t="shared" si="0"/>
        <v>15</v>
      </c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</row>
    <row r="18" spans="1:108" x14ac:dyDescent="0.25">
      <c r="A18" s="11" t="s">
        <v>52</v>
      </c>
      <c r="B18" s="12">
        <v>0.09</v>
      </c>
      <c r="H18" s="27">
        <f t="shared" si="0"/>
        <v>16</v>
      </c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</row>
    <row r="19" spans="1:108" x14ac:dyDescent="0.25">
      <c r="A19" s="11" t="s">
        <v>55</v>
      </c>
      <c r="B19" s="12">
        <v>0.04</v>
      </c>
      <c r="H19" s="27">
        <f t="shared" si="0"/>
        <v>17</v>
      </c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</row>
    <row r="20" spans="1:108" x14ac:dyDescent="0.25">
      <c r="H20" s="27">
        <f t="shared" si="0"/>
        <v>18</v>
      </c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1:108" x14ac:dyDescent="0.25">
      <c r="H21" s="27">
        <f t="shared" si="0"/>
        <v>19</v>
      </c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</row>
    <row r="22" spans="1:108" x14ac:dyDescent="0.25">
      <c r="H22" s="27">
        <f t="shared" si="0"/>
        <v>20</v>
      </c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</row>
    <row r="23" spans="1:108" x14ac:dyDescent="0.25">
      <c r="H23" s="27">
        <f t="shared" si="0"/>
        <v>21</v>
      </c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</row>
    <row r="24" spans="1:108" x14ac:dyDescent="0.25">
      <c r="H24" s="27">
        <f t="shared" si="0"/>
        <v>22</v>
      </c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</row>
    <row r="25" spans="1:108" x14ac:dyDescent="0.25">
      <c r="H25" s="27">
        <f t="shared" si="0"/>
        <v>23</v>
      </c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</row>
    <row r="26" spans="1:108" x14ac:dyDescent="0.25">
      <c r="H26" s="27">
        <f t="shared" si="0"/>
        <v>24</v>
      </c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</row>
    <row r="27" spans="1:108" x14ac:dyDescent="0.25">
      <c r="H27" s="27">
        <f t="shared" si="0"/>
        <v>25</v>
      </c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</row>
    <row r="28" spans="1:108" x14ac:dyDescent="0.25">
      <c r="H28" s="27">
        <f t="shared" si="0"/>
        <v>26</v>
      </c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</row>
    <row r="29" spans="1:108" x14ac:dyDescent="0.25">
      <c r="H29" s="27">
        <f t="shared" si="0"/>
        <v>27</v>
      </c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</row>
    <row r="30" spans="1:108" x14ac:dyDescent="0.25">
      <c r="H30" s="27">
        <f t="shared" si="0"/>
        <v>28</v>
      </c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</row>
    <row r="31" spans="1:108" x14ac:dyDescent="0.25">
      <c r="H31" s="27">
        <f t="shared" si="0"/>
        <v>29</v>
      </c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</row>
    <row r="32" spans="1:108" x14ac:dyDescent="0.25">
      <c r="H32" s="27">
        <f t="shared" si="0"/>
        <v>30</v>
      </c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8:108" x14ac:dyDescent="0.25">
      <c r="H33" s="27">
        <f t="shared" si="0"/>
        <v>31</v>
      </c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</row>
    <row r="34" spans="8:108" x14ac:dyDescent="0.25">
      <c r="H34" s="27">
        <f t="shared" si="0"/>
        <v>32</v>
      </c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</row>
    <row r="35" spans="8:108" x14ac:dyDescent="0.25">
      <c r="H35" s="27">
        <f t="shared" si="0"/>
        <v>33</v>
      </c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</row>
    <row r="36" spans="8:108" x14ac:dyDescent="0.25">
      <c r="H36" s="27">
        <f t="shared" si="0"/>
        <v>34</v>
      </c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</row>
    <row r="37" spans="8:108" x14ac:dyDescent="0.25">
      <c r="H37" s="27">
        <f t="shared" si="0"/>
        <v>35</v>
      </c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</row>
    <row r="38" spans="8:108" x14ac:dyDescent="0.25">
      <c r="H38" s="27">
        <f t="shared" si="0"/>
        <v>36</v>
      </c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</row>
    <row r="39" spans="8:108" x14ac:dyDescent="0.25">
      <c r="H39" s="27">
        <f t="shared" si="0"/>
        <v>37</v>
      </c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</row>
    <row r="40" spans="8:108" x14ac:dyDescent="0.25">
      <c r="H40" s="27">
        <f t="shared" si="0"/>
        <v>38</v>
      </c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</row>
    <row r="41" spans="8:108" x14ac:dyDescent="0.25">
      <c r="H41" s="27">
        <f t="shared" si="0"/>
        <v>39</v>
      </c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</row>
    <row r="42" spans="8:108" x14ac:dyDescent="0.25">
      <c r="H42" s="27">
        <f t="shared" si="0"/>
        <v>40</v>
      </c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</row>
    <row r="43" spans="8:108" x14ac:dyDescent="0.25">
      <c r="H43" s="27">
        <f t="shared" si="0"/>
        <v>41</v>
      </c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</row>
    <row r="44" spans="8:108" x14ac:dyDescent="0.25">
      <c r="H44" s="27">
        <f t="shared" si="0"/>
        <v>42</v>
      </c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</row>
    <row r="45" spans="8:108" x14ac:dyDescent="0.25">
      <c r="H45" s="27">
        <f t="shared" si="0"/>
        <v>43</v>
      </c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</row>
    <row r="46" spans="8:108" x14ac:dyDescent="0.25">
      <c r="H46" s="27">
        <f t="shared" si="0"/>
        <v>44</v>
      </c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</row>
    <row r="47" spans="8:108" x14ac:dyDescent="0.25">
      <c r="H47" s="27">
        <f t="shared" si="0"/>
        <v>45</v>
      </c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</row>
    <row r="48" spans="8:108" x14ac:dyDescent="0.25">
      <c r="H48" s="27">
        <f t="shared" si="0"/>
        <v>46</v>
      </c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</row>
    <row r="49" spans="8:108" x14ac:dyDescent="0.25">
      <c r="H49" s="27">
        <f t="shared" si="0"/>
        <v>47</v>
      </c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</row>
    <row r="50" spans="8:108" x14ac:dyDescent="0.25">
      <c r="H50" s="27">
        <f t="shared" si="0"/>
        <v>48</v>
      </c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</row>
    <row r="51" spans="8:108" x14ac:dyDescent="0.25">
      <c r="H51" s="27">
        <f t="shared" si="0"/>
        <v>49</v>
      </c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</row>
    <row r="52" spans="8:108" x14ac:dyDescent="0.25">
      <c r="H52" s="27">
        <f t="shared" si="0"/>
        <v>50</v>
      </c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</row>
    <row r="53" spans="8:108" x14ac:dyDescent="0.25">
      <c r="H53" s="27">
        <f t="shared" si="0"/>
        <v>51</v>
      </c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</row>
    <row r="54" spans="8:108" x14ac:dyDescent="0.25">
      <c r="H54" s="27">
        <f t="shared" si="0"/>
        <v>52</v>
      </c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</row>
    <row r="55" spans="8:108" x14ac:dyDescent="0.25">
      <c r="H55" s="27">
        <f t="shared" si="0"/>
        <v>53</v>
      </c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</row>
    <row r="56" spans="8:108" x14ac:dyDescent="0.25">
      <c r="H56" s="27">
        <f t="shared" si="0"/>
        <v>54</v>
      </c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</row>
    <row r="57" spans="8:108" x14ac:dyDescent="0.25">
      <c r="H57" s="27">
        <f t="shared" si="0"/>
        <v>55</v>
      </c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</row>
    <row r="58" spans="8:108" x14ac:dyDescent="0.25">
      <c r="H58" s="27">
        <f t="shared" si="0"/>
        <v>56</v>
      </c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</row>
    <row r="59" spans="8:108" x14ac:dyDescent="0.25">
      <c r="H59" s="27">
        <f t="shared" si="0"/>
        <v>57</v>
      </c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</row>
    <row r="60" spans="8:108" x14ac:dyDescent="0.25">
      <c r="H60" s="27">
        <f t="shared" si="0"/>
        <v>58</v>
      </c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</row>
    <row r="61" spans="8:108" x14ac:dyDescent="0.25">
      <c r="H61" s="27">
        <f t="shared" si="0"/>
        <v>59</v>
      </c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</row>
    <row r="62" spans="8:108" x14ac:dyDescent="0.25">
      <c r="H62" s="27">
        <f t="shared" si="0"/>
        <v>60</v>
      </c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</row>
    <row r="63" spans="8:108" x14ac:dyDescent="0.25">
      <c r="H63" s="27">
        <f t="shared" si="0"/>
        <v>61</v>
      </c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</row>
    <row r="64" spans="8:108" x14ac:dyDescent="0.25">
      <c r="H64" s="27">
        <f t="shared" si="0"/>
        <v>62</v>
      </c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</row>
    <row r="65" spans="8:108" x14ac:dyDescent="0.25">
      <c r="H65" s="27">
        <f t="shared" si="0"/>
        <v>63</v>
      </c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</row>
    <row r="66" spans="8:108" x14ac:dyDescent="0.25">
      <c r="H66" s="27">
        <f t="shared" si="0"/>
        <v>64</v>
      </c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</row>
    <row r="67" spans="8:108" x14ac:dyDescent="0.25">
      <c r="H67" s="27">
        <f t="shared" si="0"/>
        <v>65</v>
      </c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</row>
    <row r="68" spans="8:108" x14ac:dyDescent="0.25">
      <c r="H68" s="27">
        <f t="shared" si="0"/>
        <v>66</v>
      </c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</row>
    <row r="69" spans="8:108" x14ac:dyDescent="0.25">
      <c r="H69" s="27">
        <f t="shared" si="0"/>
        <v>67</v>
      </c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</row>
    <row r="70" spans="8:108" x14ac:dyDescent="0.25">
      <c r="H70" s="27">
        <f t="shared" si="0"/>
        <v>68</v>
      </c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</row>
    <row r="71" spans="8:108" x14ac:dyDescent="0.25">
      <c r="H71" s="27">
        <f t="shared" si="0"/>
        <v>69</v>
      </c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</row>
    <row r="72" spans="8:108" x14ac:dyDescent="0.25">
      <c r="H72" s="27">
        <f t="shared" ref="H72:H102" si="1">H71+1</f>
        <v>70</v>
      </c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</row>
    <row r="73" spans="8:108" x14ac:dyDescent="0.25">
      <c r="H73" s="27">
        <f t="shared" si="1"/>
        <v>71</v>
      </c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</row>
    <row r="74" spans="8:108" x14ac:dyDescent="0.25">
      <c r="H74" s="27">
        <f t="shared" si="1"/>
        <v>72</v>
      </c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</row>
    <row r="75" spans="8:108" x14ac:dyDescent="0.25">
      <c r="H75" s="27">
        <f t="shared" si="1"/>
        <v>73</v>
      </c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</row>
    <row r="76" spans="8:108" x14ac:dyDescent="0.25">
      <c r="H76" s="27">
        <f t="shared" si="1"/>
        <v>74</v>
      </c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</row>
    <row r="77" spans="8:108" x14ac:dyDescent="0.25">
      <c r="H77" s="27">
        <f t="shared" si="1"/>
        <v>75</v>
      </c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</row>
    <row r="78" spans="8:108" x14ac:dyDescent="0.25">
      <c r="H78" s="27">
        <f t="shared" si="1"/>
        <v>76</v>
      </c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</row>
    <row r="79" spans="8:108" x14ac:dyDescent="0.25">
      <c r="H79" s="27">
        <f t="shared" si="1"/>
        <v>77</v>
      </c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</row>
    <row r="80" spans="8:108" x14ac:dyDescent="0.25">
      <c r="H80" s="27">
        <f t="shared" si="1"/>
        <v>78</v>
      </c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</row>
    <row r="81" spans="8:108" x14ac:dyDescent="0.25">
      <c r="H81" s="27">
        <f t="shared" si="1"/>
        <v>79</v>
      </c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</row>
    <row r="82" spans="8:108" x14ac:dyDescent="0.25">
      <c r="H82" s="27">
        <f t="shared" si="1"/>
        <v>80</v>
      </c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</row>
    <row r="83" spans="8:108" x14ac:dyDescent="0.25">
      <c r="H83" s="27">
        <f t="shared" si="1"/>
        <v>81</v>
      </c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</row>
    <row r="84" spans="8:108" x14ac:dyDescent="0.25">
      <c r="H84" s="27">
        <f t="shared" si="1"/>
        <v>82</v>
      </c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</row>
    <row r="85" spans="8:108" x14ac:dyDescent="0.25">
      <c r="H85" s="27">
        <f t="shared" si="1"/>
        <v>83</v>
      </c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</row>
    <row r="86" spans="8:108" x14ac:dyDescent="0.25">
      <c r="H86" s="27">
        <f t="shared" si="1"/>
        <v>84</v>
      </c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</row>
    <row r="87" spans="8:108" x14ac:dyDescent="0.25">
      <c r="H87" s="27">
        <f t="shared" si="1"/>
        <v>85</v>
      </c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</row>
    <row r="88" spans="8:108" x14ac:dyDescent="0.25">
      <c r="H88" s="27">
        <f t="shared" si="1"/>
        <v>86</v>
      </c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</row>
    <row r="89" spans="8:108" x14ac:dyDescent="0.25">
      <c r="H89" s="27">
        <f t="shared" si="1"/>
        <v>87</v>
      </c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</row>
    <row r="90" spans="8:108" x14ac:dyDescent="0.25">
      <c r="H90" s="27">
        <f t="shared" si="1"/>
        <v>88</v>
      </c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</row>
    <row r="91" spans="8:108" x14ac:dyDescent="0.25">
      <c r="H91" s="27">
        <f t="shared" si="1"/>
        <v>89</v>
      </c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</row>
    <row r="92" spans="8:108" x14ac:dyDescent="0.25">
      <c r="H92" s="27">
        <f t="shared" si="1"/>
        <v>90</v>
      </c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</row>
    <row r="93" spans="8:108" x14ac:dyDescent="0.25">
      <c r="H93" s="27">
        <f t="shared" si="1"/>
        <v>91</v>
      </c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</row>
    <row r="94" spans="8:108" x14ac:dyDescent="0.25">
      <c r="H94" s="27">
        <f t="shared" si="1"/>
        <v>92</v>
      </c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</row>
    <row r="95" spans="8:108" x14ac:dyDescent="0.25">
      <c r="H95" s="27">
        <f t="shared" si="1"/>
        <v>93</v>
      </c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</row>
    <row r="96" spans="8:108" x14ac:dyDescent="0.25">
      <c r="H96" s="27">
        <f t="shared" si="1"/>
        <v>94</v>
      </c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</row>
    <row r="97" spans="8:108" x14ac:dyDescent="0.25">
      <c r="H97" s="27">
        <f t="shared" si="1"/>
        <v>95</v>
      </c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</row>
    <row r="98" spans="8:108" x14ac:dyDescent="0.25">
      <c r="H98" s="27">
        <f t="shared" si="1"/>
        <v>96</v>
      </c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</row>
    <row r="99" spans="8:108" x14ac:dyDescent="0.25">
      <c r="H99" s="27">
        <f t="shared" si="1"/>
        <v>97</v>
      </c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</row>
    <row r="100" spans="8:108" x14ac:dyDescent="0.25">
      <c r="H100" s="27">
        <f t="shared" si="1"/>
        <v>98</v>
      </c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</row>
    <row r="101" spans="8:108" x14ac:dyDescent="0.25">
      <c r="H101" s="27">
        <f t="shared" si="1"/>
        <v>99</v>
      </c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</row>
    <row r="102" spans="8:108" x14ac:dyDescent="0.25">
      <c r="H102" s="28">
        <f t="shared" si="1"/>
        <v>100</v>
      </c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</row>
    <row r="103" spans="8:108" x14ac:dyDescent="0.25">
      <c r="H103" s="27" t="s">
        <v>70</v>
      </c>
      <c r="I103">
        <f>SUM(I3:I102)</f>
        <v>0</v>
      </c>
      <c r="J103">
        <f t="shared" ref="J103:BF103" si="2">SUM(J3:J102)</f>
        <v>0</v>
      </c>
      <c r="K103">
        <f t="shared" si="2"/>
        <v>0</v>
      </c>
      <c r="L103">
        <f t="shared" si="2"/>
        <v>0</v>
      </c>
      <c r="M103">
        <f t="shared" si="2"/>
        <v>0</v>
      </c>
      <c r="N103">
        <f t="shared" si="2"/>
        <v>0</v>
      </c>
      <c r="O103">
        <f t="shared" si="2"/>
        <v>0</v>
      </c>
      <c r="P103">
        <f t="shared" si="2"/>
        <v>0</v>
      </c>
      <c r="Q103">
        <f t="shared" si="2"/>
        <v>0</v>
      </c>
      <c r="R103">
        <f t="shared" si="2"/>
        <v>0</v>
      </c>
      <c r="S103">
        <f t="shared" si="2"/>
        <v>0</v>
      </c>
      <c r="T103">
        <f t="shared" si="2"/>
        <v>0</v>
      </c>
      <c r="U103">
        <f t="shared" si="2"/>
        <v>0</v>
      </c>
      <c r="V103">
        <f t="shared" si="2"/>
        <v>0</v>
      </c>
      <c r="W103">
        <f t="shared" si="2"/>
        <v>0</v>
      </c>
      <c r="X103">
        <f t="shared" si="2"/>
        <v>0</v>
      </c>
      <c r="Y103">
        <f t="shared" si="2"/>
        <v>0</v>
      </c>
      <c r="Z103">
        <f t="shared" si="2"/>
        <v>0</v>
      </c>
      <c r="AA103">
        <f t="shared" si="2"/>
        <v>0</v>
      </c>
      <c r="AB103">
        <f t="shared" si="2"/>
        <v>0</v>
      </c>
      <c r="AC103">
        <f t="shared" si="2"/>
        <v>0</v>
      </c>
      <c r="AD103">
        <f t="shared" si="2"/>
        <v>0</v>
      </c>
      <c r="AE103">
        <f t="shared" si="2"/>
        <v>0</v>
      </c>
      <c r="AF103">
        <f t="shared" si="2"/>
        <v>0</v>
      </c>
      <c r="AG103">
        <f t="shared" si="2"/>
        <v>0</v>
      </c>
      <c r="AH103">
        <f t="shared" si="2"/>
        <v>0</v>
      </c>
      <c r="AI103">
        <f t="shared" si="2"/>
        <v>0</v>
      </c>
      <c r="AJ103">
        <f t="shared" si="2"/>
        <v>0</v>
      </c>
      <c r="AK103">
        <f t="shared" si="2"/>
        <v>0</v>
      </c>
      <c r="AL103">
        <f t="shared" si="2"/>
        <v>0</v>
      </c>
      <c r="AM103">
        <f t="shared" si="2"/>
        <v>0</v>
      </c>
      <c r="AN103">
        <f t="shared" si="2"/>
        <v>0</v>
      </c>
      <c r="AO103">
        <f t="shared" si="2"/>
        <v>0</v>
      </c>
      <c r="AP103">
        <f t="shared" si="2"/>
        <v>0</v>
      </c>
      <c r="AQ103">
        <f t="shared" si="2"/>
        <v>0</v>
      </c>
      <c r="AR103">
        <f t="shared" si="2"/>
        <v>0</v>
      </c>
      <c r="AS103">
        <f t="shared" si="2"/>
        <v>0</v>
      </c>
      <c r="AT103">
        <f t="shared" si="2"/>
        <v>0</v>
      </c>
      <c r="AU103">
        <f t="shared" si="2"/>
        <v>0</v>
      </c>
      <c r="AV103">
        <f t="shared" si="2"/>
        <v>0</v>
      </c>
      <c r="AW103">
        <f t="shared" si="2"/>
        <v>0</v>
      </c>
      <c r="AX103">
        <f t="shared" si="2"/>
        <v>0</v>
      </c>
      <c r="AY103">
        <f t="shared" si="2"/>
        <v>0</v>
      </c>
      <c r="AZ103">
        <f t="shared" si="2"/>
        <v>0</v>
      </c>
      <c r="BA103">
        <f t="shared" si="2"/>
        <v>0</v>
      </c>
      <c r="BB103">
        <f t="shared" si="2"/>
        <v>0</v>
      </c>
      <c r="BC103">
        <f t="shared" si="2"/>
        <v>0</v>
      </c>
      <c r="BD103">
        <f t="shared" si="2"/>
        <v>0</v>
      </c>
      <c r="BE103">
        <f t="shared" si="2"/>
        <v>0</v>
      </c>
      <c r="BF103">
        <f t="shared" si="2"/>
        <v>0</v>
      </c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</row>
    <row r="104" spans="8:108" x14ac:dyDescent="0.25"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</row>
    <row r="105" spans="8:108" x14ac:dyDescent="0.25"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</row>
    <row r="106" spans="8:108" x14ac:dyDescent="0.25"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</row>
    <row r="107" spans="8:108" x14ac:dyDescent="0.25"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</row>
    <row r="108" spans="8:108" x14ac:dyDescent="0.25"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</row>
    <row r="109" spans="8:108" x14ac:dyDescent="0.25"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</row>
    <row r="110" spans="8:108" x14ac:dyDescent="0.25"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</row>
    <row r="111" spans="8:108" x14ac:dyDescent="0.25"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</row>
    <row r="112" spans="8:108" x14ac:dyDescent="0.25"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</row>
    <row r="113" spans="59:108" x14ac:dyDescent="0.25"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</row>
    <row r="114" spans="59:108" x14ac:dyDescent="0.25"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</row>
    <row r="115" spans="59:108" x14ac:dyDescent="0.25"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</row>
    <row r="116" spans="59:108" x14ac:dyDescent="0.25"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</row>
    <row r="117" spans="59:108" x14ac:dyDescent="0.25"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</row>
    <row r="118" spans="59:108" x14ac:dyDescent="0.25"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</row>
    <row r="119" spans="59:108" x14ac:dyDescent="0.25"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</row>
    <row r="120" spans="59:108" x14ac:dyDescent="0.25"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</row>
    <row r="121" spans="59:108" x14ac:dyDescent="0.25"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</row>
    <row r="122" spans="59:108" x14ac:dyDescent="0.25"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</row>
    <row r="123" spans="59:108" x14ac:dyDescent="0.25"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</row>
    <row r="124" spans="59:108" x14ac:dyDescent="0.25"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</row>
    <row r="125" spans="59:108" x14ac:dyDescent="0.25"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</row>
    <row r="126" spans="59:108" x14ac:dyDescent="0.25"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</row>
    <row r="127" spans="59:108" x14ac:dyDescent="0.25"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</row>
    <row r="128" spans="59:108" x14ac:dyDescent="0.25"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</row>
    <row r="129" spans="59:108" x14ac:dyDescent="0.25"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</row>
    <row r="130" spans="59:108" x14ac:dyDescent="0.25"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</row>
    <row r="131" spans="59:108" x14ac:dyDescent="0.25"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</row>
    <row r="132" spans="59:108" x14ac:dyDescent="0.25"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</row>
    <row r="133" spans="59:108" x14ac:dyDescent="0.25"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</row>
    <row r="134" spans="59:108" x14ac:dyDescent="0.25"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</row>
    <row r="135" spans="59:108" x14ac:dyDescent="0.25"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</row>
    <row r="136" spans="59:108" x14ac:dyDescent="0.25"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</row>
    <row r="137" spans="59:108" x14ac:dyDescent="0.25"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</row>
    <row r="138" spans="59:108" x14ac:dyDescent="0.25"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</row>
    <row r="139" spans="59:108" x14ac:dyDescent="0.25"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</row>
    <row r="140" spans="59:108" x14ac:dyDescent="0.25"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</row>
    <row r="141" spans="59:108" x14ac:dyDescent="0.25"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</row>
    <row r="142" spans="59:108" x14ac:dyDescent="0.25"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</row>
    <row r="143" spans="59:108" x14ac:dyDescent="0.25"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</row>
    <row r="144" spans="59:108" x14ac:dyDescent="0.25"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</row>
    <row r="145" spans="59:108" x14ac:dyDescent="0.25"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</row>
    <row r="146" spans="59:108" x14ac:dyDescent="0.25"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</row>
    <row r="147" spans="59:108" x14ac:dyDescent="0.25"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</row>
    <row r="148" spans="59:108" x14ac:dyDescent="0.25"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</row>
    <row r="149" spans="59:108" x14ac:dyDescent="0.25"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</row>
    <row r="150" spans="59:108" x14ac:dyDescent="0.25"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</row>
    <row r="151" spans="59:108" x14ac:dyDescent="0.25"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</row>
    <row r="152" spans="59:108" x14ac:dyDescent="0.25"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</row>
    <row r="153" spans="59:108" x14ac:dyDescent="0.25"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</row>
    <row r="154" spans="59:108" x14ac:dyDescent="0.25"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</row>
    <row r="155" spans="59:108" x14ac:dyDescent="0.25"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</row>
    <row r="156" spans="59:108" x14ac:dyDescent="0.25"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</row>
    <row r="157" spans="59:108" x14ac:dyDescent="0.25"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</row>
    <row r="158" spans="59:108" x14ac:dyDescent="0.25"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</row>
    <row r="159" spans="59:108" x14ac:dyDescent="0.25"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</row>
    <row r="160" spans="59:108" x14ac:dyDescent="0.25"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</row>
    <row r="161" spans="59:108" x14ac:dyDescent="0.25"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</row>
    <row r="162" spans="59:108" x14ac:dyDescent="0.25"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</row>
    <row r="163" spans="59:108" x14ac:dyDescent="0.25"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</row>
    <row r="164" spans="59:108" x14ac:dyDescent="0.25"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</row>
    <row r="165" spans="59:108" x14ac:dyDescent="0.25"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</row>
    <row r="166" spans="59:108" x14ac:dyDescent="0.25"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</row>
    <row r="167" spans="59:108" x14ac:dyDescent="0.25"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</row>
    <row r="168" spans="59:108" x14ac:dyDescent="0.25"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</row>
    <row r="169" spans="59:108" x14ac:dyDescent="0.25"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</row>
    <row r="170" spans="59:108" x14ac:dyDescent="0.25"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</row>
    <row r="171" spans="59:108" x14ac:dyDescent="0.25"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</row>
    <row r="172" spans="59:108" x14ac:dyDescent="0.25"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</row>
    <row r="173" spans="59:108" x14ac:dyDescent="0.25"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</row>
    <row r="174" spans="59:108" x14ac:dyDescent="0.25"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</row>
    <row r="175" spans="59:108" x14ac:dyDescent="0.25"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</row>
    <row r="176" spans="59:108" x14ac:dyDescent="0.25"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</row>
    <row r="177" spans="59:108" x14ac:dyDescent="0.25"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</row>
    <row r="178" spans="59:108" x14ac:dyDescent="0.25"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</row>
    <row r="179" spans="59:108" x14ac:dyDescent="0.25"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</row>
    <row r="180" spans="59:108" x14ac:dyDescent="0.25"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</row>
    <row r="181" spans="59:108" x14ac:dyDescent="0.25"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</row>
    <row r="182" spans="59:108" x14ac:dyDescent="0.25"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</row>
    <row r="183" spans="59:108" x14ac:dyDescent="0.25"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</row>
    <row r="184" spans="59:108" x14ac:dyDescent="0.25"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</row>
    <row r="185" spans="59:108" x14ac:dyDescent="0.25"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</row>
    <row r="186" spans="59:108" x14ac:dyDescent="0.25"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</row>
    <row r="187" spans="59:108" x14ac:dyDescent="0.25"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</row>
    <row r="188" spans="59:108" x14ac:dyDescent="0.25"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</row>
    <row r="189" spans="59:108" x14ac:dyDescent="0.25"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</row>
    <row r="190" spans="59:108" x14ac:dyDescent="0.25"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</row>
    <row r="191" spans="59:108" x14ac:dyDescent="0.25"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</row>
    <row r="192" spans="59:108" x14ac:dyDescent="0.25"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</row>
    <row r="193" spans="59:108" x14ac:dyDescent="0.25"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</row>
    <row r="194" spans="59:108" x14ac:dyDescent="0.25"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</row>
    <row r="195" spans="59:108" x14ac:dyDescent="0.25"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</row>
    <row r="196" spans="59:108" x14ac:dyDescent="0.25"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</row>
    <row r="197" spans="59:108" x14ac:dyDescent="0.25"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</row>
    <row r="198" spans="59:108" x14ac:dyDescent="0.25"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</row>
    <row r="199" spans="59:108" x14ac:dyDescent="0.25"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</row>
    <row r="200" spans="59:108" x14ac:dyDescent="0.25"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</row>
    <row r="201" spans="59:108" x14ac:dyDescent="0.25"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</row>
    <row r="202" spans="59:108" x14ac:dyDescent="0.25"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</row>
    <row r="203" spans="59:108" x14ac:dyDescent="0.25"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</row>
    <row r="204" spans="59:108" x14ac:dyDescent="0.25"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</row>
    <row r="205" spans="59:108" x14ac:dyDescent="0.25"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</row>
    <row r="206" spans="59:108" x14ac:dyDescent="0.25"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</row>
    <row r="207" spans="59:108" x14ac:dyDescent="0.25"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</row>
    <row r="208" spans="59:108" x14ac:dyDescent="0.25"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</row>
    <row r="209" spans="59:108" x14ac:dyDescent="0.25"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</row>
    <row r="210" spans="59:108" x14ac:dyDescent="0.25"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</row>
    <row r="211" spans="59:108" x14ac:dyDescent="0.25"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</row>
    <row r="212" spans="59:108" x14ac:dyDescent="0.25"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</row>
    <row r="213" spans="59:108" x14ac:dyDescent="0.25"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</row>
    <row r="214" spans="59:108" x14ac:dyDescent="0.25"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</row>
    <row r="215" spans="59:108" x14ac:dyDescent="0.25"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</row>
    <row r="216" spans="59:108" x14ac:dyDescent="0.25"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</row>
    <row r="217" spans="59:108" x14ac:dyDescent="0.25"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</row>
    <row r="218" spans="59:108" x14ac:dyDescent="0.25"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</row>
    <row r="219" spans="59:108" x14ac:dyDescent="0.25"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</row>
    <row r="220" spans="59:108" x14ac:dyDescent="0.25"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</row>
    <row r="221" spans="59:108" x14ac:dyDescent="0.25"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</row>
    <row r="222" spans="59:108" x14ac:dyDescent="0.25"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</row>
    <row r="223" spans="59:108" x14ac:dyDescent="0.25"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</row>
    <row r="224" spans="59:108" x14ac:dyDescent="0.25"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</row>
    <row r="225" spans="59:108" x14ac:dyDescent="0.25"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</row>
    <row r="226" spans="59:108" x14ac:dyDescent="0.25"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</row>
    <row r="227" spans="59:108" x14ac:dyDescent="0.25"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</row>
    <row r="228" spans="59:108" x14ac:dyDescent="0.25"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</row>
    <row r="229" spans="59:108" x14ac:dyDescent="0.25"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</row>
    <row r="230" spans="59:108" x14ac:dyDescent="0.25"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</row>
    <row r="231" spans="59:108" x14ac:dyDescent="0.25"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</row>
    <row r="232" spans="59:108" x14ac:dyDescent="0.25"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</row>
    <row r="233" spans="59:108" x14ac:dyDescent="0.25"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</row>
    <row r="234" spans="59:108" x14ac:dyDescent="0.25"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</row>
    <row r="235" spans="59:108" x14ac:dyDescent="0.25"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</row>
    <row r="236" spans="59:108" x14ac:dyDescent="0.25"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</row>
    <row r="237" spans="59:108" x14ac:dyDescent="0.25"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</row>
    <row r="238" spans="59:108" x14ac:dyDescent="0.25"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</row>
    <row r="239" spans="59:108" x14ac:dyDescent="0.25"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</row>
    <row r="240" spans="59:108" x14ac:dyDescent="0.25"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</row>
    <row r="241" spans="59:108" x14ac:dyDescent="0.25"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</row>
    <row r="242" spans="59:108" x14ac:dyDescent="0.25"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</row>
    <row r="243" spans="59:108" x14ac:dyDescent="0.25"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</row>
    <row r="244" spans="59:108" x14ac:dyDescent="0.25"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</row>
    <row r="245" spans="59:108" x14ac:dyDescent="0.25"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</row>
    <row r="246" spans="59:108" x14ac:dyDescent="0.25"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</row>
    <row r="247" spans="59:108" x14ac:dyDescent="0.25"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</row>
    <row r="248" spans="59:108" x14ac:dyDescent="0.25"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</row>
    <row r="249" spans="59:108" x14ac:dyDescent="0.25"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</row>
    <row r="250" spans="59:108" x14ac:dyDescent="0.25"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</row>
    <row r="251" spans="59:108" x14ac:dyDescent="0.25"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</row>
    <row r="252" spans="59:108" x14ac:dyDescent="0.25"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</row>
    <row r="253" spans="59:108" x14ac:dyDescent="0.25"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</row>
    <row r="254" spans="59:108" x14ac:dyDescent="0.25"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</row>
    <row r="255" spans="59:108" x14ac:dyDescent="0.25"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</row>
    <row r="256" spans="59:108" x14ac:dyDescent="0.25"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</row>
    <row r="257" spans="59:108" x14ac:dyDescent="0.25"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</row>
    <row r="258" spans="59:108" x14ac:dyDescent="0.25"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</row>
    <row r="259" spans="59:108" x14ac:dyDescent="0.25"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</row>
    <row r="260" spans="59:108" x14ac:dyDescent="0.25"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</row>
    <row r="261" spans="59:108" x14ac:dyDescent="0.25"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</row>
    <row r="262" spans="59:108" x14ac:dyDescent="0.25"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</row>
    <row r="263" spans="59:108" x14ac:dyDescent="0.25"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</row>
    <row r="264" spans="59:108" x14ac:dyDescent="0.25"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</row>
    <row r="265" spans="59:108" x14ac:dyDescent="0.25"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</row>
    <row r="266" spans="59:108" x14ac:dyDescent="0.25"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</row>
    <row r="267" spans="59:108" x14ac:dyDescent="0.25"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</row>
    <row r="268" spans="59:108" x14ac:dyDescent="0.25"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</row>
    <row r="269" spans="59:108" x14ac:dyDescent="0.25"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</row>
    <row r="270" spans="59:108" x14ac:dyDescent="0.25"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</row>
    <row r="271" spans="59:108" x14ac:dyDescent="0.25"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</row>
    <row r="272" spans="59:108" x14ac:dyDescent="0.25"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</row>
    <row r="273" spans="59:108" x14ac:dyDescent="0.25"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</row>
    <row r="274" spans="59:108" x14ac:dyDescent="0.25"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</row>
    <row r="275" spans="59:108" x14ac:dyDescent="0.25"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</row>
    <row r="276" spans="59:108" x14ac:dyDescent="0.25"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</row>
    <row r="277" spans="59:108" x14ac:dyDescent="0.25"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</row>
    <row r="278" spans="59:108" x14ac:dyDescent="0.25"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</row>
    <row r="279" spans="59:108" x14ac:dyDescent="0.25"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</row>
    <row r="280" spans="59:108" x14ac:dyDescent="0.25"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</row>
    <row r="281" spans="59:108" x14ac:dyDescent="0.25"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</row>
    <row r="282" spans="59:108" x14ac:dyDescent="0.25"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</row>
    <row r="283" spans="59:108" x14ac:dyDescent="0.25"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</row>
    <row r="284" spans="59:108" x14ac:dyDescent="0.25"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</row>
    <row r="285" spans="59:108" x14ac:dyDescent="0.25"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</row>
    <row r="286" spans="59:108" x14ac:dyDescent="0.25"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</row>
    <row r="287" spans="59:108" x14ac:dyDescent="0.25"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</row>
    <row r="288" spans="59:108" x14ac:dyDescent="0.25"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</row>
    <row r="289" spans="59:108" x14ac:dyDescent="0.25"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</row>
    <row r="290" spans="59:108" x14ac:dyDescent="0.25"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</row>
    <row r="291" spans="59:108" x14ac:dyDescent="0.25"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</row>
    <row r="292" spans="59:108" x14ac:dyDescent="0.25"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</row>
    <row r="293" spans="59:108" x14ac:dyDescent="0.25"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</row>
    <row r="294" spans="59:108" x14ac:dyDescent="0.25"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</row>
    <row r="295" spans="59:108" x14ac:dyDescent="0.25"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</row>
    <row r="296" spans="59:108" x14ac:dyDescent="0.25"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</row>
    <row r="297" spans="59:108" x14ac:dyDescent="0.25"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</row>
    <row r="298" spans="59:108" x14ac:dyDescent="0.25"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</row>
    <row r="299" spans="59:108" x14ac:dyDescent="0.25"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</row>
    <row r="300" spans="59:108" x14ac:dyDescent="0.25"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</row>
    <row r="301" spans="59:108" x14ac:dyDescent="0.25"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</row>
    <row r="302" spans="59:108" x14ac:dyDescent="0.25"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</row>
    <row r="303" spans="59:108" x14ac:dyDescent="0.25"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</row>
    <row r="304" spans="59:108" x14ac:dyDescent="0.25"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</row>
    <row r="305" spans="59:108" x14ac:dyDescent="0.25"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</row>
    <row r="306" spans="59:108" x14ac:dyDescent="0.25"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</row>
    <row r="307" spans="59:108" x14ac:dyDescent="0.25"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</row>
    <row r="308" spans="59:108" x14ac:dyDescent="0.25"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</row>
    <row r="309" spans="59:108" x14ac:dyDescent="0.25"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</row>
    <row r="310" spans="59:108" x14ac:dyDescent="0.25"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</row>
    <row r="311" spans="59:108" x14ac:dyDescent="0.25"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</row>
    <row r="312" spans="59:108" x14ac:dyDescent="0.25"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</row>
    <row r="313" spans="59:108" x14ac:dyDescent="0.25"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</row>
    <row r="314" spans="59:108" x14ac:dyDescent="0.25"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</row>
    <row r="315" spans="59:108" x14ac:dyDescent="0.25"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</row>
    <row r="316" spans="59:108" x14ac:dyDescent="0.25"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</row>
    <row r="317" spans="59:108" x14ac:dyDescent="0.25"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</row>
    <row r="318" spans="59:108" x14ac:dyDescent="0.25"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</row>
    <row r="319" spans="59:108" x14ac:dyDescent="0.25"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</row>
    <row r="320" spans="59:108" x14ac:dyDescent="0.25"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</row>
    <row r="321" spans="59:108" x14ac:dyDescent="0.25"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</row>
    <row r="322" spans="59:108" x14ac:dyDescent="0.25"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</row>
    <row r="323" spans="59:108" x14ac:dyDescent="0.25"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</row>
    <row r="324" spans="59:108" x14ac:dyDescent="0.25"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</row>
    <row r="325" spans="59:108" x14ac:dyDescent="0.25"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</row>
    <row r="326" spans="59:108" x14ac:dyDescent="0.25"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</row>
    <row r="327" spans="59:108" x14ac:dyDescent="0.25"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</row>
    <row r="328" spans="59:108" x14ac:dyDescent="0.25"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</row>
    <row r="329" spans="59:108" x14ac:dyDescent="0.25"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</row>
    <row r="330" spans="59:108" x14ac:dyDescent="0.25"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</row>
    <row r="331" spans="59:108" x14ac:dyDescent="0.25"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</row>
    <row r="332" spans="59:108" x14ac:dyDescent="0.25"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</row>
    <row r="333" spans="59:108" x14ac:dyDescent="0.25"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</row>
    <row r="334" spans="59:108" x14ac:dyDescent="0.25"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</row>
    <row r="335" spans="59:108" x14ac:dyDescent="0.25"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</row>
    <row r="336" spans="59:108" x14ac:dyDescent="0.25"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</row>
    <row r="337" spans="59:108" x14ac:dyDescent="0.25"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</row>
    <row r="338" spans="59:108" x14ac:dyDescent="0.25"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</row>
    <row r="339" spans="59:108" x14ac:dyDescent="0.25"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</row>
    <row r="340" spans="59:108" x14ac:dyDescent="0.25"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</row>
    <row r="341" spans="59:108" x14ac:dyDescent="0.25"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</row>
    <row r="342" spans="59:108" x14ac:dyDescent="0.25"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</row>
    <row r="343" spans="59:108" x14ac:dyDescent="0.25"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</row>
    <row r="344" spans="59:108" x14ac:dyDescent="0.25"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</row>
    <row r="345" spans="59:108" x14ac:dyDescent="0.25"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</row>
    <row r="346" spans="59:108" x14ac:dyDescent="0.25"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</row>
    <row r="347" spans="59:108" x14ac:dyDescent="0.25"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</row>
    <row r="348" spans="59:108" x14ac:dyDescent="0.25"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</row>
    <row r="349" spans="59:108" x14ac:dyDescent="0.25"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</row>
    <row r="350" spans="59:108" x14ac:dyDescent="0.25"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</row>
    <row r="351" spans="59:108" x14ac:dyDescent="0.25"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</row>
    <row r="352" spans="59:108" x14ac:dyDescent="0.25"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</row>
    <row r="353" spans="59:108" x14ac:dyDescent="0.25"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</row>
    <row r="354" spans="59:108" x14ac:dyDescent="0.25"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</row>
    <row r="355" spans="59:108" x14ac:dyDescent="0.25"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</row>
    <row r="356" spans="59:108" x14ac:dyDescent="0.25"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</row>
    <row r="357" spans="59:108" x14ac:dyDescent="0.25"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</row>
    <row r="358" spans="59:108" x14ac:dyDescent="0.25"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</row>
    <row r="359" spans="59:108" x14ac:dyDescent="0.25"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</row>
    <row r="360" spans="59:108" x14ac:dyDescent="0.25"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</row>
    <row r="361" spans="59:108" x14ac:dyDescent="0.25"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</row>
    <row r="362" spans="59:108" x14ac:dyDescent="0.25"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</row>
    <row r="363" spans="59:108" x14ac:dyDescent="0.25"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</row>
    <row r="364" spans="59:108" x14ac:dyDescent="0.25"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</row>
    <row r="365" spans="59:108" x14ac:dyDescent="0.25"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</row>
    <row r="366" spans="59:108" x14ac:dyDescent="0.25"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</row>
    <row r="367" spans="59:108" x14ac:dyDescent="0.25"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</row>
    <row r="368" spans="59:108" x14ac:dyDescent="0.25"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</row>
    <row r="369" spans="59:108" x14ac:dyDescent="0.25"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</row>
    <row r="370" spans="59:108" x14ac:dyDescent="0.25"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</row>
    <row r="371" spans="59:108" x14ac:dyDescent="0.25"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</row>
    <row r="372" spans="59:108" x14ac:dyDescent="0.25"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</row>
    <row r="373" spans="59:108" x14ac:dyDescent="0.25"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</row>
    <row r="374" spans="59:108" x14ac:dyDescent="0.25"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</row>
    <row r="375" spans="59:108" x14ac:dyDescent="0.25"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</row>
    <row r="376" spans="59:108" x14ac:dyDescent="0.25"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</row>
    <row r="377" spans="59:108" x14ac:dyDescent="0.25"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</row>
    <row r="378" spans="59:108" x14ac:dyDescent="0.25"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</row>
    <row r="379" spans="59:108" x14ac:dyDescent="0.25"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</row>
    <row r="380" spans="59:108" x14ac:dyDescent="0.25"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</row>
    <row r="381" spans="59:108" x14ac:dyDescent="0.25"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</row>
    <row r="382" spans="59:108" x14ac:dyDescent="0.25"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</row>
    <row r="383" spans="59:108" x14ac:dyDescent="0.25"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</row>
    <row r="384" spans="59:108" x14ac:dyDescent="0.25"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</row>
    <row r="385" spans="59:108" x14ac:dyDescent="0.25"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</row>
    <row r="386" spans="59:108" x14ac:dyDescent="0.25"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</row>
    <row r="387" spans="59:108" x14ac:dyDescent="0.25"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</row>
    <row r="388" spans="59:108" x14ac:dyDescent="0.25"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</row>
    <row r="389" spans="59:108" x14ac:dyDescent="0.25"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</row>
    <row r="390" spans="59:108" x14ac:dyDescent="0.25"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</row>
    <row r="391" spans="59:108" x14ac:dyDescent="0.25"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</row>
    <row r="392" spans="59:108" x14ac:dyDescent="0.25"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</row>
    <row r="393" spans="59:108" x14ac:dyDescent="0.25"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</row>
    <row r="394" spans="59:108" x14ac:dyDescent="0.25"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</row>
    <row r="395" spans="59:108" x14ac:dyDescent="0.25"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</row>
    <row r="396" spans="59:108" x14ac:dyDescent="0.25"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</row>
    <row r="397" spans="59:108" x14ac:dyDescent="0.25"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</row>
    <row r="398" spans="59:108" x14ac:dyDescent="0.25"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</row>
    <row r="399" spans="59:108" x14ac:dyDescent="0.25"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</row>
    <row r="400" spans="59:108" x14ac:dyDescent="0.25"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</row>
    <row r="401" spans="59:108" x14ac:dyDescent="0.25"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</row>
    <row r="402" spans="59:108" x14ac:dyDescent="0.25"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</row>
    <row r="403" spans="59:108" x14ac:dyDescent="0.25"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</row>
    <row r="404" spans="59:108" x14ac:dyDescent="0.25"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</row>
    <row r="405" spans="59:108" x14ac:dyDescent="0.25"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</row>
    <row r="406" spans="59:108" x14ac:dyDescent="0.25"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</row>
    <row r="407" spans="59:108" x14ac:dyDescent="0.25"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</row>
    <row r="408" spans="59:108" x14ac:dyDescent="0.25"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</row>
    <row r="409" spans="59:108" x14ac:dyDescent="0.25"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</row>
    <row r="410" spans="59:108" x14ac:dyDescent="0.25"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</row>
    <row r="411" spans="59:108" x14ac:dyDescent="0.25"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</row>
    <row r="412" spans="59:108" x14ac:dyDescent="0.25"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</row>
    <row r="413" spans="59:108" x14ac:dyDescent="0.25"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</row>
    <row r="414" spans="59:108" x14ac:dyDescent="0.25"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</row>
    <row r="415" spans="59:108" x14ac:dyDescent="0.25"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</row>
    <row r="416" spans="59:108" x14ac:dyDescent="0.25"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</row>
    <row r="417" spans="59:108" x14ac:dyDescent="0.25"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</row>
    <row r="418" spans="59:108" x14ac:dyDescent="0.25"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</row>
    <row r="419" spans="59:108" x14ac:dyDescent="0.25"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</row>
    <row r="420" spans="59:108" x14ac:dyDescent="0.25"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</row>
    <row r="421" spans="59:108" x14ac:dyDescent="0.25"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</row>
    <row r="422" spans="59:108" x14ac:dyDescent="0.25"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</row>
    <row r="423" spans="59:108" x14ac:dyDescent="0.25"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</row>
    <row r="424" spans="59:108" x14ac:dyDescent="0.25"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</row>
    <row r="425" spans="59:108" x14ac:dyDescent="0.25"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</row>
    <row r="426" spans="59:108" x14ac:dyDescent="0.25"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</row>
    <row r="427" spans="59:108" x14ac:dyDescent="0.25"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</row>
    <row r="428" spans="59:108" x14ac:dyDescent="0.25"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</row>
    <row r="429" spans="59:108" x14ac:dyDescent="0.25"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</row>
    <row r="430" spans="59:108" x14ac:dyDescent="0.25"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</row>
    <row r="431" spans="59:108" x14ac:dyDescent="0.25"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</row>
    <row r="432" spans="59:108" x14ac:dyDescent="0.25"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</row>
    <row r="433" spans="59:108" x14ac:dyDescent="0.25"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</row>
    <row r="434" spans="59:108" x14ac:dyDescent="0.25"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</row>
    <row r="435" spans="59:108" x14ac:dyDescent="0.25"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</row>
    <row r="436" spans="59:108" x14ac:dyDescent="0.25"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</row>
    <row r="437" spans="59:108" x14ac:dyDescent="0.25"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</row>
    <row r="438" spans="59:108" x14ac:dyDescent="0.25"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</row>
    <row r="439" spans="59:108" x14ac:dyDescent="0.25"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</row>
    <row r="440" spans="59:108" x14ac:dyDescent="0.25"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</row>
    <row r="441" spans="59:108" x14ac:dyDescent="0.25"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</row>
    <row r="442" spans="59:108" x14ac:dyDescent="0.25"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</row>
    <row r="443" spans="59:108" x14ac:dyDescent="0.25"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</row>
    <row r="444" spans="59:108" x14ac:dyDescent="0.25"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</row>
    <row r="445" spans="59:108" x14ac:dyDescent="0.25"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</row>
    <row r="446" spans="59:108" x14ac:dyDescent="0.25"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</row>
    <row r="447" spans="59:108" x14ac:dyDescent="0.25"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</row>
    <row r="448" spans="59:108" x14ac:dyDescent="0.25"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</row>
    <row r="449" spans="59:108" x14ac:dyDescent="0.25"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</row>
    <row r="450" spans="59:108" x14ac:dyDescent="0.25"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</row>
    <row r="451" spans="59:108" x14ac:dyDescent="0.25"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</row>
    <row r="452" spans="59:108" x14ac:dyDescent="0.25"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</row>
    <row r="453" spans="59:108" x14ac:dyDescent="0.25"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</row>
    <row r="454" spans="59:108" x14ac:dyDescent="0.25"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</row>
    <row r="455" spans="59:108" x14ac:dyDescent="0.25"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</row>
    <row r="456" spans="59:108" x14ac:dyDescent="0.25"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</row>
    <row r="457" spans="59:108" x14ac:dyDescent="0.25"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</row>
    <row r="458" spans="59:108" x14ac:dyDescent="0.25"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</row>
    <row r="459" spans="59:108" x14ac:dyDescent="0.25"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</row>
    <row r="460" spans="59:108" x14ac:dyDescent="0.25"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</row>
    <row r="461" spans="59:108" x14ac:dyDescent="0.25"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</row>
    <row r="462" spans="59:108" x14ac:dyDescent="0.25"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</row>
    <row r="463" spans="59:108" x14ac:dyDescent="0.25"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</row>
    <row r="464" spans="59:108" x14ac:dyDescent="0.25"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</row>
    <row r="465" spans="59:108" x14ac:dyDescent="0.25"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</row>
    <row r="466" spans="59:108" x14ac:dyDescent="0.25"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</row>
    <row r="467" spans="59:108" x14ac:dyDescent="0.25"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</row>
    <row r="468" spans="59:108" x14ac:dyDescent="0.25"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</row>
    <row r="469" spans="59:108" x14ac:dyDescent="0.25"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</row>
    <row r="470" spans="59:108" x14ac:dyDescent="0.25"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</row>
    <row r="471" spans="59:108" x14ac:dyDescent="0.25"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</row>
    <row r="472" spans="59:108" x14ac:dyDescent="0.25"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</row>
    <row r="473" spans="59:108" x14ac:dyDescent="0.25"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</row>
    <row r="474" spans="59:108" x14ac:dyDescent="0.25"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</row>
    <row r="475" spans="59:108" x14ac:dyDescent="0.25"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</row>
    <row r="476" spans="59:108" x14ac:dyDescent="0.25"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</row>
    <row r="477" spans="59:108" x14ac:dyDescent="0.25"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</row>
    <row r="478" spans="59:108" x14ac:dyDescent="0.25"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</row>
    <row r="479" spans="59:108" x14ac:dyDescent="0.25"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</row>
    <row r="480" spans="59:108" x14ac:dyDescent="0.25"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</row>
    <row r="481" spans="59:108" x14ac:dyDescent="0.25"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</row>
    <row r="482" spans="59:108" x14ac:dyDescent="0.25"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</row>
    <row r="483" spans="59:108" x14ac:dyDescent="0.25"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</row>
    <row r="484" spans="59:108" x14ac:dyDescent="0.25"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</row>
    <row r="485" spans="59:108" x14ac:dyDescent="0.25"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</row>
    <row r="486" spans="59:108" x14ac:dyDescent="0.25"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</row>
    <row r="487" spans="59:108" x14ac:dyDescent="0.25"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</row>
    <row r="488" spans="59:108" x14ac:dyDescent="0.25"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</row>
    <row r="489" spans="59:108" x14ac:dyDescent="0.25"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</row>
    <row r="490" spans="59:108" x14ac:dyDescent="0.25"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</row>
    <row r="491" spans="59:108" x14ac:dyDescent="0.25"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</row>
    <row r="492" spans="59:108" x14ac:dyDescent="0.25"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</row>
    <row r="493" spans="59:108" x14ac:dyDescent="0.25"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</row>
    <row r="494" spans="59:108" x14ac:dyDescent="0.25"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</row>
    <row r="495" spans="59:108" x14ac:dyDescent="0.25"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</row>
    <row r="496" spans="59:108" x14ac:dyDescent="0.25"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</row>
    <row r="497" spans="59:108" x14ac:dyDescent="0.25"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</row>
    <row r="498" spans="59:108" x14ac:dyDescent="0.25"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</row>
    <row r="499" spans="59:108" x14ac:dyDescent="0.25"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</row>
    <row r="500" spans="59:108" x14ac:dyDescent="0.25"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</row>
    <row r="501" spans="59:108" x14ac:dyDescent="0.25"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</row>
    <row r="502" spans="59:108" x14ac:dyDescent="0.25"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</row>
    <row r="503" spans="59:108" x14ac:dyDescent="0.25"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</row>
    <row r="504" spans="59:108" x14ac:dyDescent="0.25"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</row>
    <row r="505" spans="59:108" x14ac:dyDescent="0.25"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</row>
    <row r="506" spans="59:108" x14ac:dyDescent="0.25"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</row>
    <row r="507" spans="59:108" x14ac:dyDescent="0.25"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</row>
    <row r="508" spans="59:108" x14ac:dyDescent="0.25"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</row>
    <row r="509" spans="59:108" x14ac:dyDescent="0.25"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</row>
    <row r="510" spans="59:108" x14ac:dyDescent="0.25"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</row>
    <row r="511" spans="59:108" x14ac:dyDescent="0.25"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</row>
    <row r="512" spans="59:108" x14ac:dyDescent="0.25"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</row>
    <row r="513" spans="59:108" x14ac:dyDescent="0.25"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</row>
    <row r="514" spans="59:108" x14ac:dyDescent="0.25"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</row>
    <row r="515" spans="59:108" x14ac:dyDescent="0.25"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</row>
    <row r="516" spans="59:108" x14ac:dyDescent="0.25"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</row>
    <row r="517" spans="59:108" x14ac:dyDescent="0.25"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</row>
    <row r="518" spans="59:108" x14ac:dyDescent="0.25"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</row>
    <row r="519" spans="59:108" x14ac:dyDescent="0.25"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</row>
    <row r="520" spans="59:108" x14ac:dyDescent="0.25"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</row>
    <row r="521" spans="59:108" x14ac:dyDescent="0.25"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</row>
    <row r="522" spans="59:108" x14ac:dyDescent="0.25"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</row>
    <row r="523" spans="59:108" x14ac:dyDescent="0.25"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</row>
    <row r="524" spans="59:108" x14ac:dyDescent="0.25"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</row>
    <row r="525" spans="59:108" x14ac:dyDescent="0.25"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</row>
    <row r="526" spans="59:108" x14ac:dyDescent="0.25"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</row>
    <row r="527" spans="59:108" x14ac:dyDescent="0.25"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</row>
    <row r="528" spans="59:108" x14ac:dyDescent="0.25"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</row>
    <row r="529" spans="59:108" x14ac:dyDescent="0.25"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</row>
    <row r="530" spans="59:108" x14ac:dyDescent="0.25"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</row>
    <row r="531" spans="59:108" x14ac:dyDescent="0.25"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</row>
    <row r="532" spans="59:108" x14ac:dyDescent="0.25"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</row>
    <row r="533" spans="59:108" x14ac:dyDescent="0.25"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</row>
    <row r="534" spans="59:108" x14ac:dyDescent="0.25"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</row>
    <row r="535" spans="59:108" x14ac:dyDescent="0.25"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</row>
    <row r="536" spans="59:108" x14ac:dyDescent="0.25"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</row>
    <row r="537" spans="59:108" x14ac:dyDescent="0.25"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</row>
    <row r="538" spans="59:108" x14ac:dyDescent="0.25"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</row>
    <row r="539" spans="59:108" x14ac:dyDescent="0.25"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</row>
    <row r="540" spans="59:108" x14ac:dyDescent="0.25"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</row>
    <row r="541" spans="59:108" x14ac:dyDescent="0.25"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</row>
    <row r="542" spans="59:108" x14ac:dyDescent="0.25"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</row>
    <row r="543" spans="59:108" x14ac:dyDescent="0.25"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</row>
    <row r="544" spans="59:108" x14ac:dyDescent="0.25"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</row>
    <row r="545" spans="59:108" x14ac:dyDescent="0.25"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</row>
    <row r="546" spans="59:108" x14ac:dyDescent="0.25"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</row>
    <row r="547" spans="59:108" x14ac:dyDescent="0.25"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</row>
    <row r="548" spans="59:108" x14ac:dyDescent="0.25"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</row>
    <row r="549" spans="59:108" x14ac:dyDescent="0.25"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</row>
    <row r="550" spans="59:108" x14ac:dyDescent="0.25"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</row>
    <row r="551" spans="59:108" x14ac:dyDescent="0.25"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</row>
    <row r="552" spans="59:108" x14ac:dyDescent="0.25"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</row>
    <row r="553" spans="59:108" x14ac:dyDescent="0.25"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</row>
    <row r="554" spans="59:108" x14ac:dyDescent="0.25"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</row>
    <row r="555" spans="59:108" x14ac:dyDescent="0.25"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</row>
    <row r="556" spans="59:108" x14ac:dyDescent="0.25"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</row>
    <row r="557" spans="59:108" x14ac:dyDescent="0.25"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</row>
    <row r="558" spans="59:108" x14ac:dyDescent="0.25"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</row>
    <row r="559" spans="59:108" x14ac:dyDescent="0.25"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</row>
    <row r="560" spans="59:108" x14ac:dyDescent="0.25"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</row>
    <row r="561" spans="59:108" x14ac:dyDescent="0.25"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</row>
    <row r="562" spans="59:108" x14ac:dyDescent="0.25"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</row>
    <row r="563" spans="59:108" x14ac:dyDescent="0.25"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</row>
    <row r="564" spans="59:108" x14ac:dyDescent="0.25"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</row>
    <row r="565" spans="59:108" x14ac:dyDescent="0.25"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</row>
    <row r="566" spans="59:108" x14ac:dyDescent="0.25"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</row>
    <row r="567" spans="59:108" x14ac:dyDescent="0.25"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</row>
    <row r="568" spans="59:108" x14ac:dyDescent="0.25"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</row>
    <row r="569" spans="59:108" x14ac:dyDescent="0.25"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</row>
    <row r="570" spans="59:108" x14ac:dyDescent="0.25"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</row>
    <row r="571" spans="59:108" x14ac:dyDescent="0.25"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</row>
    <row r="572" spans="59:108" x14ac:dyDescent="0.25"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</row>
    <row r="573" spans="59:108" x14ac:dyDescent="0.25"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</row>
    <row r="574" spans="59:108" x14ac:dyDescent="0.25"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</row>
    <row r="575" spans="59:108" x14ac:dyDescent="0.25"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</row>
    <row r="576" spans="59:108" x14ac:dyDescent="0.25"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</row>
    <row r="577" spans="59:108" x14ac:dyDescent="0.25"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</row>
    <row r="578" spans="59:108" x14ac:dyDescent="0.25"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</row>
    <row r="579" spans="59:108" x14ac:dyDescent="0.25"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</row>
    <row r="580" spans="59:108" x14ac:dyDescent="0.25"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</row>
    <row r="581" spans="59:108" x14ac:dyDescent="0.25"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</row>
    <row r="582" spans="59:108" x14ac:dyDescent="0.25"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</row>
    <row r="583" spans="59:108" x14ac:dyDescent="0.25"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</row>
    <row r="584" spans="59:108" x14ac:dyDescent="0.25"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</row>
    <row r="585" spans="59:108" x14ac:dyDescent="0.25"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</row>
    <row r="586" spans="59:108" x14ac:dyDescent="0.25"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</row>
    <row r="587" spans="59:108" x14ac:dyDescent="0.25"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</row>
    <row r="588" spans="59:108" x14ac:dyDescent="0.25"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</row>
    <row r="589" spans="59:108" x14ac:dyDescent="0.25"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</row>
    <row r="590" spans="59:108" x14ac:dyDescent="0.25"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</row>
    <row r="591" spans="59:108" x14ac:dyDescent="0.25"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</row>
    <row r="592" spans="59:108" x14ac:dyDescent="0.25"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</row>
    <row r="593" spans="59:108" x14ac:dyDescent="0.25"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</row>
    <row r="594" spans="59:108" x14ac:dyDescent="0.25"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</row>
    <row r="595" spans="59:108" x14ac:dyDescent="0.25"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</row>
    <row r="596" spans="59:108" x14ac:dyDescent="0.25"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</row>
    <row r="597" spans="59:108" x14ac:dyDescent="0.25"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</row>
    <row r="598" spans="59:108" x14ac:dyDescent="0.25"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</row>
    <row r="599" spans="59:108" x14ac:dyDescent="0.25"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</row>
    <row r="600" spans="59:108" x14ac:dyDescent="0.25"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</row>
    <row r="601" spans="59:108" x14ac:dyDescent="0.25"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</row>
    <row r="602" spans="59:108" x14ac:dyDescent="0.25"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</row>
  </sheetData>
  <sortState ref="D4:F17">
    <sortCondition ref="D4:D17"/>
  </sortState>
  <mergeCells count="2">
    <mergeCell ref="D1:F1"/>
    <mergeCell ref="E2:F2"/>
  </mergeCell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M506"/>
  <sheetViews>
    <sheetView zoomScaleNormal="100" workbookViewId="0">
      <selection activeCell="L19" sqref="L19"/>
    </sheetView>
  </sheetViews>
  <sheetFormatPr defaultRowHeight="15" x14ac:dyDescent="0.25"/>
  <cols>
    <col min="1" max="1" width="2.85546875" customWidth="1"/>
    <col min="2" max="2" width="11.7109375" style="27" customWidth="1"/>
    <col min="3" max="3" width="9.140625" style="27"/>
    <col min="4" max="4" width="10.140625" customWidth="1"/>
    <col min="6" max="6" width="11.5703125" bestFit="1" customWidth="1"/>
    <col min="7" max="7" width="12.85546875" customWidth="1"/>
    <col min="9" max="9" width="10.5703125" customWidth="1"/>
    <col min="10" max="10" width="8.5703125" customWidth="1"/>
    <col min="11" max="11" width="12.28515625" bestFit="1" customWidth="1"/>
  </cols>
  <sheetData>
    <row r="1" spans="2:13" x14ac:dyDescent="0.25">
      <c r="B1" s="29" t="s">
        <v>71</v>
      </c>
      <c r="K1" s="54" t="s">
        <v>67</v>
      </c>
      <c r="L1" s="55"/>
      <c r="M1" s="56"/>
    </row>
    <row r="2" spans="2:13" x14ac:dyDescent="0.25">
      <c r="B2" s="44" t="s">
        <v>76</v>
      </c>
      <c r="C2" s="45"/>
      <c r="D2" s="46"/>
      <c r="E2" s="46"/>
      <c r="F2" s="47"/>
      <c r="G2" s="46"/>
      <c r="H2" s="46"/>
      <c r="I2" s="47"/>
      <c r="K2" s="15"/>
      <c r="L2" s="57" t="s">
        <v>66</v>
      </c>
      <c r="M2" s="58"/>
    </row>
    <row r="3" spans="2:13" x14ac:dyDescent="0.25">
      <c r="B3" s="30"/>
      <c r="C3" s="31"/>
      <c r="D3" s="32"/>
      <c r="E3" s="32"/>
      <c r="F3" s="32"/>
      <c r="K3" s="16" t="s">
        <v>65</v>
      </c>
      <c r="L3" s="17" t="s">
        <v>48</v>
      </c>
      <c r="M3" s="18" t="s">
        <v>49</v>
      </c>
    </row>
    <row r="4" spans="2:13" s="32" customFormat="1" x14ac:dyDescent="0.25">
      <c r="B4" s="30"/>
      <c r="C4" s="31"/>
      <c r="K4" s="23" t="s">
        <v>57</v>
      </c>
      <c r="L4" s="19">
        <v>70</v>
      </c>
      <c r="M4" s="20">
        <v>84</v>
      </c>
    </row>
    <row r="5" spans="2:13" s="32" customFormat="1" x14ac:dyDescent="0.25">
      <c r="B5" s="30" t="s">
        <v>72</v>
      </c>
      <c r="C5" s="31"/>
      <c r="K5" s="23" t="s">
        <v>56</v>
      </c>
      <c r="L5" s="19">
        <v>80</v>
      </c>
      <c r="M5" s="20">
        <v>96</v>
      </c>
    </row>
    <row r="6" spans="2:13" ht="30.75" customHeight="1" x14ac:dyDescent="0.25">
      <c r="B6" s="33" t="s">
        <v>65</v>
      </c>
      <c r="C6" s="34" t="s">
        <v>66</v>
      </c>
      <c r="D6" s="35" t="s">
        <v>73</v>
      </c>
      <c r="E6" s="36" t="s">
        <v>74</v>
      </c>
      <c r="F6" s="48" t="s">
        <v>47</v>
      </c>
      <c r="K6" s="23" t="s">
        <v>53</v>
      </c>
      <c r="L6" s="19">
        <v>100</v>
      </c>
      <c r="M6" s="20">
        <v>120</v>
      </c>
    </row>
    <row r="7" spans="2:13" x14ac:dyDescent="0.25">
      <c r="B7" s="37" t="s">
        <v>57</v>
      </c>
      <c r="C7" s="38" t="s">
        <v>49</v>
      </c>
      <c r="D7" s="39"/>
      <c r="E7" s="40" t="s">
        <v>75</v>
      </c>
      <c r="F7" s="49">
        <v>28944</v>
      </c>
      <c r="K7" s="23" t="s">
        <v>62</v>
      </c>
      <c r="L7" s="19">
        <v>20</v>
      </c>
      <c r="M7" s="20">
        <v>24</v>
      </c>
    </row>
    <row r="8" spans="2:13" x14ac:dyDescent="0.25">
      <c r="B8" s="37" t="s">
        <v>60</v>
      </c>
      <c r="C8" s="38" t="s">
        <v>49</v>
      </c>
      <c r="D8" s="39"/>
      <c r="E8" s="38"/>
      <c r="K8" s="23" t="s">
        <v>64</v>
      </c>
      <c r="L8" s="19">
        <v>5</v>
      </c>
      <c r="M8" s="20">
        <v>6</v>
      </c>
    </row>
    <row r="9" spans="2:13" x14ac:dyDescent="0.25">
      <c r="B9" s="37" t="s">
        <v>61</v>
      </c>
      <c r="C9" s="38" t="s">
        <v>48</v>
      </c>
      <c r="D9" s="39"/>
      <c r="E9" s="38"/>
      <c r="K9" s="23" t="s">
        <v>58</v>
      </c>
      <c r="L9" s="19">
        <v>60</v>
      </c>
      <c r="M9" s="20">
        <v>72</v>
      </c>
    </row>
    <row r="10" spans="2:13" x14ac:dyDescent="0.25">
      <c r="B10" s="37" t="s">
        <v>55</v>
      </c>
      <c r="C10" s="38" t="s">
        <v>48</v>
      </c>
      <c r="D10" s="41"/>
      <c r="E10" s="38"/>
      <c r="K10" s="23" t="s">
        <v>54</v>
      </c>
      <c r="L10" s="19">
        <v>100</v>
      </c>
      <c r="M10" s="20">
        <v>120</v>
      </c>
    </row>
    <row r="11" spans="2:13" ht="28.5" customHeight="1" x14ac:dyDescent="0.25">
      <c r="B11" s="37" t="s">
        <v>52</v>
      </c>
      <c r="C11" s="38" t="s">
        <v>48</v>
      </c>
      <c r="D11" s="39"/>
      <c r="E11" s="38"/>
      <c r="K11" s="23" t="s">
        <v>63</v>
      </c>
      <c r="L11" s="19">
        <v>20</v>
      </c>
      <c r="M11" s="20">
        <v>24</v>
      </c>
    </row>
    <row r="12" spans="2:13" x14ac:dyDescent="0.25">
      <c r="B12" s="37" t="s">
        <v>60</v>
      </c>
      <c r="C12" s="38" t="s">
        <v>49</v>
      </c>
      <c r="D12" s="39"/>
      <c r="E12" s="38"/>
      <c r="K12" s="23" t="s">
        <v>60</v>
      </c>
      <c r="L12" s="19">
        <v>35</v>
      </c>
      <c r="M12" s="20">
        <v>42</v>
      </c>
    </row>
    <row r="13" spans="2:13" x14ac:dyDescent="0.25">
      <c r="B13" s="37" t="s">
        <v>54</v>
      </c>
      <c r="C13" s="38" t="s">
        <v>48</v>
      </c>
      <c r="D13" s="41"/>
      <c r="E13" s="38"/>
      <c r="K13" s="23" t="s">
        <v>51</v>
      </c>
      <c r="L13" s="19">
        <v>200</v>
      </c>
      <c r="M13" s="20">
        <v>240</v>
      </c>
    </row>
    <row r="14" spans="2:13" x14ac:dyDescent="0.25">
      <c r="B14" s="37" t="s">
        <v>62</v>
      </c>
      <c r="C14" s="38" t="s">
        <v>48</v>
      </c>
      <c r="D14" s="39"/>
      <c r="E14" s="38"/>
      <c r="K14" s="23" t="s">
        <v>59</v>
      </c>
      <c r="L14" s="19">
        <v>50</v>
      </c>
      <c r="M14" s="20">
        <v>60</v>
      </c>
    </row>
    <row r="15" spans="2:13" x14ac:dyDescent="0.25">
      <c r="B15" s="37" t="s">
        <v>62</v>
      </c>
      <c r="C15" s="38" t="s">
        <v>49</v>
      </c>
      <c r="D15" s="39"/>
      <c r="E15" s="38"/>
      <c r="K15" s="23" t="s">
        <v>61</v>
      </c>
      <c r="L15" s="19">
        <v>25</v>
      </c>
      <c r="M15" s="20">
        <v>30</v>
      </c>
    </row>
    <row r="16" spans="2:13" x14ac:dyDescent="0.25">
      <c r="B16" s="37" t="s">
        <v>56</v>
      </c>
      <c r="C16" s="38" t="s">
        <v>49</v>
      </c>
      <c r="D16" s="39"/>
      <c r="E16" s="38"/>
      <c r="K16" s="23" t="s">
        <v>52</v>
      </c>
      <c r="L16" s="19">
        <v>140</v>
      </c>
      <c r="M16" s="20">
        <v>168</v>
      </c>
    </row>
    <row r="17" spans="2:13" x14ac:dyDescent="0.25">
      <c r="B17" s="37" t="s">
        <v>54</v>
      </c>
      <c r="C17" s="38" t="s">
        <v>49</v>
      </c>
      <c r="D17" s="39"/>
      <c r="E17" s="38"/>
      <c r="K17" s="24" t="s">
        <v>55</v>
      </c>
      <c r="L17" s="21">
        <v>100</v>
      </c>
      <c r="M17" s="22">
        <v>120</v>
      </c>
    </row>
    <row r="18" spans="2:13" x14ac:dyDescent="0.25">
      <c r="B18" s="37" t="s">
        <v>63</v>
      </c>
      <c r="C18" s="38" t="s">
        <v>49</v>
      </c>
      <c r="D18" s="39"/>
      <c r="E18" s="38"/>
    </row>
    <row r="19" spans="2:13" x14ac:dyDescent="0.25">
      <c r="B19" s="37" t="s">
        <v>63</v>
      </c>
      <c r="C19" s="38" t="s">
        <v>49</v>
      </c>
      <c r="D19" s="39"/>
      <c r="E19" s="38"/>
      <c r="L19">
        <f>WarrantyPrice(B9,C9)</f>
        <v>25</v>
      </c>
    </row>
    <row r="20" spans="2:13" x14ac:dyDescent="0.25">
      <c r="B20" s="37" t="s">
        <v>62</v>
      </c>
      <c r="C20" s="38" t="s">
        <v>49</v>
      </c>
      <c r="D20" s="39"/>
      <c r="E20" s="38"/>
    </row>
    <row r="21" spans="2:13" x14ac:dyDescent="0.25">
      <c r="B21" s="37" t="s">
        <v>57</v>
      </c>
      <c r="C21" s="38" t="s">
        <v>49</v>
      </c>
      <c r="D21" s="39"/>
      <c r="E21" s="38"/>
    </row>
    <row r="22" spans="2:13" x14ac:dyDescent="0.25">
      <c r="B22" s="37" t="s">
        <v>60</v>
      </c>
      <c r="C22" s="38" t="s">
        <v>48</v>
      </c>
      <c r="D22" s="39"/>
      <c r="E22" s="38"/>
    </row>
    <row r="23" spans="2:13" x14ac:dyDescent="0.25">
      <c r="B23" s="37" t="s">
        <v>62</v>
      </c>
      <c r="C23" s="38" t="s">
        <v>48</v>
      </c>
      <c r="D23" s="39"/>
      <c r="E23" s="38"/>
    </row>
    <row r="24" spans="2:13" x14ac:dyDescent="0.25">
      <c r="B24" s="37" t="s">
        <v>63</v>
      </c>
      <c r="C24" s="38" t="s">
        <v>49</v>
      </c>
      <c r="D24" s="39"/>
      <c r="E24" s="38"/>
    </row>
    <row r="25" spans="2:13" x14ac:dyDescent="0.25">
      <c r="B25" s="37" t="s">
        <v>64</v>
      </c>
      <c r="C25" s="38" t="s">
        <v>48</v>
      </c>
      <c r="D25" s="39"/>
      <c r="E25" s="38"/>
    </row>
    <row r="26" spans="2:13" x14ac:dyDescent="0.25">
      <c r="B26" s="37" t="s">
        <v>63</v>
      </c>
      <c r="C26" s="38" t="s">
        <v>48</v>
      </c>
      <c r="D26" s="39"/>
      <c r="E26" s="38"/>
    </row>
    <row r="27" spans="2:13" x14ac:dyDescent="0.25">
      <c r="B27" s="37" t="s">
        <v>57</v>
      </c>
      <c r="C27" s="38" t="s">
        <v>49</v>
      </c>
      <c r="D27" s="39"/>
      <c r="E27" s="38"/>
    </row>
    <row r="28" spans="2:13" x14ac:dyDescent="0.25">
      <c r="B28" s="37" t="s">
        <v>60</v>
      </c>
      <c r="C28" s="38" t="s">
        <v>48</v>
      </c>
      <c r="D28" s="39"/>
      <c r="E28" s="38"/>
    </row>
    <row r="29" spans="2:13" x14ac:dyDescent="0.25">
      <c r="B29" s="37" t="s">
        <v>63</v>
      </c>
      <c r="C29" s="38" t="s">
        <v>49</v>
      </c>
      <c r="D29" s="39"/>
      <c r="E29" s="38"/>
    </row>
    <row r="30" spans="2:13" x14ac:dyDescent="0.25">
      <c r="B30" s="37" t="s">
        <v>62</v>
      </c>
      <c r="C30" s="38" t="s">
        <v>48</v>
      </c>
      <c r="D30" s="39"/>
      <c r="E30" s="38"/>
    </row>
    <row r="31" spans="2:13" x14ac:dyDescent="0.25">
      <c r="B31" s="37" t="s">
        <v>60</v>
      </c>
      <c r="C31" s="38" t="s">
        <v>48</v>
      </c>
      <c r="D31" s="39"/>
      <c r="E31" s="38"/>
    </row>
    <row r="32" spans="2:13" x14ac:dyDescent="0.25">
      <c r="B32" s="37" t="s">
        <v>53</v>
      </c>
      <c r="C32" s="38" t="s">
        <v>48</v>
      </c>
      <c r="D32" s="39"/>
      <c r="E32" s="38"/>
    </row>
    <row r="33" spans="2:5" x14ac:dyDescent="0.25">
      <c r="B33" s="37" t="s">
        <v>60</v>
      </c>
      <c r="C33" s="38" t="s">
        <v>49</v>
      </c>
      <c r="D33" s="39"/>
      <c r="E33" s="38"/>
    </row>
    <row r="34" spans="2:5" x14ac:dyDescent="0.25">
      <c r="B34" s="37" t="s">
        <v>62</v>
      </c>
      <c r="C34" s="38" t="s">
        <v>48</v>
      </c>
      <c r="D34" s="39"/>
      <c r="E34" s="38"/>
    </row>
    <row r="35" spans="2:5" x14ac:dyDescent="0.25">
      <c r="B35" s="37" t="s">
        <v>63</v>
      </c>
      <c r="C35" s="38" t="s">
        <v>49</v>
      </c>
      <c r="D35" s="39"/>
      <c r="E35" s="38"/>
    </row>
    <row r="36" spans="2:5" x14ac:dyDescent="0.25">
      <c r="B36" s="37" t="s">
        <v>61</v>
      </c>
      <c r="C36" s="38" t="s">
        <v>48</v>
      </c>
      <c r="D36" s="39"/>
      <c r="E36" s="38"/>
    </row>
    <row r="37" spans="2:5" x14ac:dyDescent="0.25">
      <c r="B37" s="37" t="s">
        <v>56</v>
      </c>
      <c r="C37" s="38" t="s">
        <v>48</v>
      </c>
      <c r="D37" s="39"/>
      <c r="E37" s="38"/>
    </row>
    <row r="38" spans="2:5" x14ac:dyDescent="0.25">
      <c r="B38" s="37" t="s">
        <v>63</v>
      </c>
      <c r="C38" s="38" t="s">
        <v>48</v>
      </c>
      <c r="D38" s="39"/>
      <c r="E38" s="38"/>
    </row>
    <row r="39" spans="2:5" x14ac:dyDescent="0.25">
      <c r="B39" s="37" t="s">
        <v>52</v>
      </c>
      <c r="C39" s="38" t="s">
        <v>49</v>
      </c>
      <c r="D39" s="39"/>
      <c r="E39" s="38"/>
    </row>
    <row r="40" spans="2:5" x14ac:dyDescent="0.25">
      <c r="B40" s="37" t="s">
        <v>61</v>
      </c>
      <c r="C40" s="38" t="s">
        <v>48</v>
      </c>
      <c r="D40" s="39"/>
      <c r="E40" s="38"/>
    </row>
    <row r="41" spans="2:5" x14ac:dyDescent="0.25">
      <c r="B41" s="37" t="s">
        <v>58</v>
      </c>
      <c r="C41" s="38" t="s">
        <v>49</v>
      </c>
      <c r="D41" s="39"/>
      <c r="E41" s="38"/>
    </row>
    <row r="42" spans="2:5" x14ac:dyDescent="0.25">
      <c r="B42" s="37" t="s">
        <v>63</v>
      </c>
      <c r="C42" s="38" t="s">
        <v>48</v>
      </c>
      <c r="D42" s="39"/>
      <c r="E42" s="38"/>
    </row>
    <row r="43" spans="2:5" x14ac:dyDescent="0.25">
      <c r="B43" s="37" t="s">
        <v>58</v>
      </c>
      <c r="C43" s="38" t="s">
        <v>49</v>
      </c>
      <c r="D43" s="39"/>
      <c r="E43" s="38"/>
    </row>
    <row r="44" spans="2:5" x14ac:dyDescent="0.25">
      <c r="B44" s="37" t="s">
        <v>62</v>
      </c>
      <c r="C44" s="38" t="s">
        <v>48</v>
      </c>
      <c r="D44" s="39"/>
      <c r="E44" s="38"/>
    </row>
    <row r="45" spans="2:5" x14ac:dyDescent="0.25">
      <c r="B45" s="37" t="s">
        <v>53</v>
      </c>
      <c r="C45" s="38" t="s">
        <v>48</v>
      </c>
      <c r="D45" s="39"/>
      <c r="E45" s="38"/>
    </row>
    <row r="46" spans="2:5" x14ac:dyDescent="0.25">
      <c r="B46" s="37" t="s">
        <v>56</v>
      </c>
      <c r="C46" s="38" t="s">
        <v>48</v>
      </c>
      <c r="D46" s="39"/>
      <c r="E46" s="38"/>
    </row>
    <row r="47" spans="2:5" x14ac:dyDescent="0.25">
      <c r="B47" s="37" t="s">
        <v>61</v>
      </c>
      <c r="C47" s="38" t="s">
        <v>49</v>
      </c>
      <c r="D47" s="39"/>
      <c r="E47" s="38"/>
    </row>
    <row r="48" spans="2:5" x14ac:dyDescent="0.25">
      <c r="B48" s="37" t="s">
        <v>63</v>
      </c>
      <c r="C48" s="38" t="s">
        <v>48</v>
      </c>
      <c r="D48" s="39"/>
      <c r="E48" s="38"/>
    </row>
    <row r="49" spans="2:5" x14ac:dyDescent="0.25">
      <c r="B49" s="37" t="s">
        <v>59</v>
      </c>
      <c r="C49" s="38" t="s">
        <v>49</v>
      </c>
      <c r="D49" s="39"/>
      <c r="E49" s="38"/>
    </row>
    <row r="50" spans="2:5" x14ac:dyDescent="0.25">
      <c r="B50" s="37" t="s">
        <v>64</v>
      </c>
      <c r="C50" s="38" t="s">
        <v>48</v>
      </c>
      <c r="D50" s="39"/>
      <c r="E50" s="38"/>
    </row>
    <row r="51" spans="2:5" x14ac:dyDescent="0.25">
      <c r="B51" s="37" t="s">
        <v>54</v>
      </c>
      <c r="C51" s="38" t="s">
        <v>49</v>
      </c>
      <c r="D51" s="39"/>
      <c r="E51" s="38"/>
    </row>
    <row r="52" spans="2:5" x14ac:dyDescent="0.25">
      <c r="B52" s="37" t="s">
        <v>60</v>
      </c>
      <c r="C52" s="38" t="s">
        <v>48</v>
      </c>
      <c r="D52" s="39"/>
      <c r="E52" s="38"/>
    </row>
    <row r="53" spans="2:5" x14ac:dyDescent="0.25">
      <c r="B53" s="37" t="s">
        <v>57</v>
      </c>
      <c r="C53" s="38" t="s">
        <v>48</v>
      </c>
      <c r="D53" s="39"/>
      <c r="E53" s="38"/>
    </row>
    <row r="54" spans="2:5" x14ac:dyDescent="0.25">
      <c r="B54" s="37" t="s">
        <v>63</v>
      </c>
      <c r="C54" s="38" t="s">
        <v>49</v>
      </c>
      <c r="D54" s="39"/>
      <c r="E54" s="38"/>
    </row>
    <row r="55" spans="2:5" x14ac:dyDescent="0.25">
      <c r="B55" s="37" t="s">
        <v>59</v>
      </c>
      <c r="C55" s="38" t="s">
        <v>49</v>
      </c>
      <c r="D55" s="39"/>
      <c r="E55" s="38"/>
    </row>
    <row r="56" spans="2:5" x14ac:dyDescent="0.25">
      <c r="B56" s="37" t="s">
        <v>51</v>
      </c>
      <c r="C56" s="38" t="s">
        <v>48</v>
      </c>
      <c r="D56" s="39"/>
      <c r="E56" s="38"/>
    </row>
    <row r="57" spans="2:5" x14ac:dyDescent="0.25">
      <c r="B57" s="37" t="s">
        <v>60</v>
      </c>
      <c r="C57" s="38" t="s">
        <v>48</v>
      </c>
      <c r="D57" s="39"/>
      <c r="E57" s="38"/>
    </row>
    <row r="58" spans="2:5" x14ac:dyDescent="0.25">
      <c r="B58" s="37" t="s">
        <v>55</v>
      </c>
      <c r="C58" s="38" t="s">
        <v>48</v>
      </c>
      <c r="D58" s="39"/>
      <c r="E58" s="38"/>
    </row>
    <row r="59" spans="2:5" x14ac:dyDescent="0.25">
      <c r="B59" s="37" t="s">
        <v>60</v>
      </c>
      <c r="C59" s="38" t="s">
        <v>49</v>
      </c>
      <c r="D59" s="39"/>
      <c r="E59" s="38"/>
    </row>
    <row r="60" spans="2:5" x14ac:dyDescent="0.25">
      <c r="B60" s="37" t="s">
        <v>54</v>
      </c>
      <c r="C60" s="38" t="s">
        <v>49</v>
      </c>
      <c r="D60" s="39"/>
      <c r="E60" s="38"/>
    </row>
    <row r="61" spans="2:5" x14ac:dyDescent="0.25">
      <c r="B61" s="37" t="s">
        <v>61</v>
      </c>
      <c r="C61" s="38" t="s">
        <v>49</v>
      </c>
      <c r="D61" s="39"/>
      <c r="E61" s="38"/>
    </row>
    <row r="62" spans="2:5" x14ac:dyDescent="0.25">
      <c r="B62" s="37" t="s">
        <v>64</v>
      </c>
      <c r="C62" s="38" t="s">
        <v>49</v>
      </c>
      <c r="D62" s="39"/>
      <c r="E62" s="38"/>
    </row>
    <row r="63" spans="2:5" x14ac:dyDescent="0.25">
      <c r="B63" s="37" t="s">
        <v>53</v>
      </c>
      <c r="C63" s="38" t="s">
        <v>48</v>
      </c>
      <c r="D63" s="41"/>
      <c r="E63" s="38"/>
    </row>
    <row r="64" spans="2:5" x14ac:dyDescent="0.25">
      <c r="B64" s="37" t="s">
        <v>64</v>
      </c>
      <c r="C64" s="38" t="s">
        <v>48</v>
      </c>
      <c r="D64" s="39"/>
      <c r="E64" s="38"/>
    </row>
    <row r="65" spans="2:5" x14ac:dyDescent="0.25">
      <c r="B65" s="37" t="s">
        <v>52</v>
      </c>
      <c r="C65" s="38" t="s">
        <v>49</v>
      </c>
      <c r="D65" s="39"/>
      <c r="E65" s="38"/>
    </row>
    <row r="66" spans="2:5" x14ac:dyDescent="0.25">
      <c r="B66" s="37" t="s">
        <v>64</v>
      </c>
      <c r="C66" s="38" t="s">
        <v>48</v>
      </c>
      <c r="D66" s="39"/>
      <c r="E66" s="38"/>
    </row>
    <row r="67" spans="2:5" x14ac:dyDescent="0.25">
      <c r="B67" s="37" t="s">
        <v>60</v>
      </c>
      <c r="C67" s="38" t="s">
        <v>48</v>
      </c>
      <c r="D67" s="39"/>
      <c r="E67" s="38"/>
    </row>
    <row r="68" spans="2:5" x14ac:dyDescent="0.25">
      <c r="B68" s="37" t="s">
        <v>57</v>
      </c>
      <c r="C68" s="38" t="s">
        <v>49</v>
      </c>
      <c r="D68" s="39"/>
      <c r="E68" s="38"/>
    </row>
    <row r="69" spans="2:5" x14ac:dyDescent="0.25">
      <c r="B69" s="37" t="s">
        <v>58</v>
      </c>
      <c r="C69" s="38" t="s">
        <v>48</v>
      </c>
      <c r="D69" s="39"/>
      <c r="E69" s="38"/>
    </row>
    <row r="70" spans="2:5" x14ac:dyDescent="0.25">
      <c r="B70" s="37" t="s">
        <v>60</v>
      </c>
      <c r="C70" s="38" t="s">
        <v>49</v>
      </c>
      <c r="D70" s="39"/>
      <c r="E70" s="38"/>
    </row>
    <row r="71" spans="2:5" x14ac:dyDescent="0.25">
      <c r="B71" s="37" t="s">
        <v>63</v>
      </c>
      <c r="C71" s="38" t="s">
        <v>48</v>
      </c>
      <c r="D71" s="39"/>
      <c r="E71" s="38"/>
    </row>
    <row r="72" spans="2:5" x14ac:dyDescent="0.25">
      <c r="B72" s="37" t="s">
        <v>60</v>
      </c>
      <c r="C72" s="38" t="s">
        <v>49</v>
      </c>
      <c r="D72" s="39"/>
      <c r="E72" s="38"/>
    </row>
    <row r="73" spans="2:5" x14ac:dyDescent="0.25">
      <c r="B73" s="37" t="s">
        <v>52</v>
      </c>
      <c r="C73" s="38" t="s">
        <v>49</v>
      </c>
      <c r="D73" s="39"/>
      <c r="E73" s="38"/>
    </row>
    <row r="74" spans="2:5" x14ac:dyDescent="0.25">
      <c r="B74" s="37" t="s">
        <v>63</v>
      </c>
      <c r="C74" s="38" t="s">
        <v>49</v>
      </c>
      <c r="D74" s="39"/>
      <c r="E74" s="38"/>
    </row>
    <row r="75" spans="2:5" x14ac:dyDescent="0.25">
      <c r="B75" s="37" t="s">
        <v>57</v>
      </c>
      <c r="C75" s="38" t="s">
        <v>48</v>
      </c>
      <c r="D75" s="39"/>
      <c r="E75" s="38"/>
    </row>
    <row r="76" spans="2:5" x14ac:dyDescent="0.25">
      <c r="B76" s="37" t="s">
        <v>53</v>
      </c>
      <c r="C76" s="38" t="s">
        <v>49</v>
      </c>
      <c r="D76" s="39"/>
      <c r="E76" s="38"/>
    </row>
    <row r="77" spans="2:5" x14ac:dyDescent="0.25">
      <c r="B77" s="37" t="s">
        <v>54</v>
      </c>
      <c r="C77" s="38" t="s">
        <v>49</v>
      </c>
      <c r="D77" s="39"/>
      <c r="E77" s="38"/>
    </row>
    <row r="78" spans="2:5" x14ac:dyDescent="0.25">
      <c r="B78" s="37" t="s">
        <v>62</v>
      </c>
      <c r="C78" s="38" t="s">
        <v>48</v>
      </c>
      <c r="D78" s="39"/>
      <c r="E78" s="38"/>
    </row>
    <row r="79" spans="2:5" x14ac:dyDescent="0.25">
      <c r="B79" s="37" t="s">
        <v>63</v>
      </c>
      <c r="C79" s="38" t="s">
        <v>48</v>
      </c>
      <c r="D79" s="39"/>
      <c r="E79" s="38"/>
    </row>
    <row r="80" spans="2:5" x14ac:dyDescent="0.25">
      <c r="B80" s="37" t="s">
        <v>62</v>
      </c>
      <c r="C80" s="38" t="s">
        <v>49</v>
      </c>
      <c r="D80" s="39"/>
      <c r="E80" s="38"/>
    </row>
    <row r="81" spans="2:5" x14ac:dyDescent="0.25">
      <c r="B81" s="37" t="s">
        <v>57</v>
      </c>
      <c r="C81" s="38" t="s">
        <v>48</v>
      </c>
      <c r="D81" s="39"/>
      <c r="E81" s="38"/>
    </row>
    <row r="82" spans="2:5" x14ac:dyDescent="0.25">
      <c r="B82" s="37" t="s">
        <v>60</v>
      </c>
      <c r="C82" s="38" t="s">
        <v>49</v>
      </c>
      <c r="D82" s="39"/>
      <c r="E82" s="38"/>
    </row>
    <row r="83" spans="2:5" x14ac:dyDescent="0.25">
      <c r="B83" s="37" t="s">
        <v>57</v>
      </c>
      <c r="C83" s="38" t="s">
        <v>48</v>
      </c>
      <c r="D83" s="39"/>
      <c r="E83" s="38"/>
    </row>
    <row r="84" spans="2:5" x14ac:dyDescent="0.25">
      <c r="B84" s="37" t="s">
        <v>63</v>
      </c>
      <c r="C84" s="38" t="s">
        <v>48</v>
      </c>
      <c r="D84" s="39"/>
      <c r="E84" s="38"/>
    </row>
    <row r="85" spans="2:5" x14ac:dyDescent="0.25">
      <c r="B85" s="37" t="s">
        <v>52</v>
      </c>
      <c r="C85" s="38" t="s">
        <v>48</v>
      </c>
      <c r="D85" s="39"/>
      <c r="E85" s="38"/>
    </row>
    <row r="86" spans="2:5" x14ac:dyDescent="0.25">
      <c r="B86" s="37" t="s">
        <v>64</v>
      </c>
      <c r="C86" s="38" t="s">
        <v>49</v>
      </c>
      <c r="D86" s="39"/>
      <c r="E86" s="38"/>
    </row>
    <row r="87" spans="2:5" x14ac:dyDescent="0.25">
      <c r="B87" s="37" t="s">
        <v>58</v>
      </c>
      <c r="C87" s="38" t="s">
        <v>49</v>
      </c>
      <c r="D87" s="39"/>
      <c r="E87" s="38"/>
    </row>
    <row r="88" spans="2:5" x14ac:dyDescent="0.25">
      <c r="B88" s="37" t="s">
        <v>54</v>
      </c>
      <c r="C88" s="38" t="s">
        <v>48</v>
      </c>
      <c r="D88" s="39"/>
      <c r="E88" s="38"/>
    </row>
    <row r="89" spans="2:5" x14ac:dyDescent="0.25">
      <c r="B89" s="37" t="s">
        <v>51</v>
      </c>
      <c r="C89" s="38" t="s">
        <v>49</v>
      </c>
      <c r="D89" s="39"/>
      <c r="E89" s="38"/>
    </row>
    <row r="90" spans="2:5" x14ac:dyDescent="0.25">
      <c r="B90" s="37" t="s">
        <v>60</v>
      </c>
      <c r="C90" s="38" t="s">
        <v>48</v>
      </c>
      <c r="D90" s="39"/>
      <c r="E90" s="38"/>
    </row>
    <row r="91" spans="2:5" x14ac:dyDescent="0.25">
      <c r="B91" s="37" t="s">
        <v>62</v>
      </c>
      <c r="C91" s="38" t="s">
        <v>49</v>
      </c>
      <c r="D91" s="39"/>
      <c r="E91" s="38"/>
    </row>
    <row r="92" spans="2:5" x14ac:dyDescent="0.25">
      <c r="B92" s="37" t="s">
        <v>63</v>
      </c>
      <c r="C92" s="38" t="s">
        <v>48</v>
      </c>
      <c r="D92" s="39"/>
      <c r="E92" s="38"/>
    </row>
    <row r="93" spans="2:5" x14ac:dyDescent="0.25">
      <c r="B93" s="37" t="s">
        <v>63</v>
      </c>
      <c r="C93" s="38" t="s">
        <v>48</v>
      </c>
      <c r="D93" s="39"/>
      <c r="E93" s="38"/>
    </row>
    <row r="94" spans="2:5" x14ac:dyDescent="0.25">
      <c r="B94" s="37" t="s">
        <v>61</v>
      </c>
      <c r="C94" s="38" t="s">
        <v>48</v>
      </c>
      <c r="D94" s="39"/>
      <c r="E94" s="38"/>
    </row>
    <row r="95" spans="2:5" x14ac:dyDescent="0.25">
      <c r="B95" s="37" t="s">
        <v>60</v>
      </c>
      <c r="C95" s="38" t="s">
        <v>48</v>
      </c>
      <c r="D95" s="39"/>
      <c r="E95" s="38"/>
    </row>
    <row r="96" spans="2:5" x14ac:dyDescent="0.25">
      <c r="B96" s="37" t="s">
        <v>60</v>
      </c>
      <c r="C96" s="38" t="s">
        <v>48</v>
      </c>
      <c r="D96" s="39"/>
      <c r="E96" s="38"/>
    </row>
    <row r="97" spans="2:5" x14ac:dyDescent="0.25">
      <c r="B97" s="37" t="s">
        <v>63</v>
      </c>
      <c r="C97" s="38" t="s">
        <v>49</v>
      </c>
      <c r="D97" s="39"/>
      <c r="E97" s="38"/>
    </row>
    <row r="98" spans="2:5" x14ac:dyDescent="0.25">
      <c r="B98" s="37" t="s">
        <v>62</v>
      </c>
      <c r="C98" s="38" t="s">
        <v>48</v>
      </c>
      <c r="D98" s="39"/>
      <c r="E98" s="38"/>
    </row>
    <row r="99" spans="2:5" x14ac:dyDescent="0.25">
      <c r="B99" s="37" t="s">
        <v>63</v>
      </c>
      <c r="C99" s="38" t="s">
        <v>48</v>
      </c>
      <c r="D99" s="39"/>
      <c r="E99" s="38"/>
    </row>
    <row r="100" spans="2:5" x14ac:dyDescent="0.25">
      <c r="B100" s="37" t="s">
        <v>57</v>
      </c>
      <c r="C100" s="38" t="s">
        <v>48</v>
      </c>
      <c r="D100" s="39"/>
      <c r="E100" s="38"/>
    </row>
    <row r="101" spans="2:5" x14ac:dyDescent="0.25">
      <c r="B101" s="37" t="s">
        <v>64</v>
      </c>
      <c r="C101" s="38" t="s">
        <v>49</v>
      </c>
      <c r="D101" s="39"/>
    </row>
    <row r="102" spans="2:5" x14ac:dyDescent="0.25">
      <c r="B102" s="37" t="s">
        <v>52</v>
      </c>
      <c r="C102" s="38" t="s">
        <v>49</v>
      </c>
      <c r="D102" s="39"/>
    </row>
    <row r="103" spans="2:5" x14ac:dyDescent="0.25">
      <c r="B103" s="37" t="s">
        <v>60</v>
      </c>
      <c r="C103" s="38" t="s">
        <v>49</v>
      </c>
      <c r="D103" s="39"/>
    </row>
    <row r="104" spans="2:5" x14ac:dyDescent="0.25">
      <c r="B104" s="37" t="s">
        <v>61</v>
      </c>
      <c r="C104" s="38" t="s">
        <v>48</v>
      </c>
      <c r="D104" s="39"/>
    </row>
    <row r="105" spans="2:5" x14ac:dyDescent="0.25">
      <c r="B105" s="37" t="s">
        <v>64</v>
      </c>
      <c r="C105" s="38" t="s">
        <v>49</v>
      </c>
      <c r="D105" s="39"/>
    </row>
    <row r="106" spans="2:5" x14ac:dyDescent="0.25">
      <c r="B106" s="37" t="s">
        <v>63</v>
      </c>
      <c r="C106" s="38" t="s">
        <v>48</v>
      </c>
      <c r="D106" s="39"/>
    </row>
    <row r="107" spans="2:5" x14ac:dyDescent="0.25">
      <c r="B107" s="37" t="s">
        <v>55</v>
      </c>
      <c r="C107" s="38" t="s">
        <v>49</v>
      </c>
      <c r="D107" s="39"/>
    </row>
    <row r="108" spans="2:5" x14ac:dyDescent="0.25">
      <c r="B108" s="37" t="s">
        <v>63</v>
      </c>
      <c r="C108" s="38" t="s">
        <v>48</v>
      </c>
      <c r="D108" s="39"/>
    </row>
    <row r="109" spans="2:5" x14ac:dyDescent="0.25">
      <c r="B109" s="37" t="s">
        <v>60</v>
      </c>
      <c r="C109" s="38" t="s">
        <v>49</v>
      </c>
      <c r="D109" s="39"/>
    </row>
    <row r="110" spans="2:5" x14ac:dyDescent="0.25">
      <c r="B110" s="37" t="s">
        <v>54</v>
      </c>
      <c r="C110" s="38" t="s">
        <v>48</v>
      </c>
      <c r="D110" s="39"/>
    </row>
    <row r="111" spans="2:5" x14ac:dyDescent="0.25">
      <c r="B111" s="37" t="s">
        <v>60</v>
      </c>
      <c r="C111" s="38" t="s">
        <v>49</v>
      </c>
      <c r="D111" s="39"/>
    </row>
    <row r="112" spans="2:5" x14ac:dyDescent="0.25">
      <c r="B112" s="37" t="s">
        <v>54</v>
      </c>
      <c r="C112" s="38" t="s">
        <v>48</v>
      </c>
      <c r="D112" s="39"/>
    </row>
    <row r="113" spans="2:4" x14ac:dyDescent="0.25">
      <c r="B113" s="37" t="s">
        <v>60</v>
      </c>
      <c r="C113" s="38" t="s">
        <v>49</v>
      </c>
      <c r="D113" s="39"/>
    </row>
    <row r="114" spans="2:4" x14ac:dyDescent="0.25">
      <c r="B114" s="37" t="s">
        <v>62</v>
      </c>
      <c r="C114" s="38" t="s">
        <v>49</v>
      </c>
      <c r="D114" s="39"/>
    </row>
    <row r="115" spans="2:4" x14ac:dyDescent="0.25">
      <c r="B115" s="37" t="s">
        <v>62</v>
      </c>
      <c r="C115" s="38" t="s">
        <v>48</v>
      </c>
      <c r="D115" s="39"/>
    </row>
    <row r="116" spans="2:4" x14ac:dyDescent="0.25">
      <c r="B116" s="37" t="s">
        <v>60</v>
      </c>
      <c r="C116" s="38" t="s">
        <v>49</v>
      </c>
      <c r="D116" s="39"/>
    </row>
    <row r="117" spans="2:4" x14ac:dyDescent="0.25">
      <c r="B117" s="37" t="s">
        <v>52</v>
      </c>
      <c r="C117" s="38" t="s">
        <v>48</v>
      </c>
      <c r="D117" s="39"/>
    </row>
    <row r="118" spans="2:4" x14ac:dyDescent="0.25">
      <c r="B118" s="37" t="s">
        <v>53</v>
      </c>
      <c r="C118" s="38" t="s">
        <v>49</v>
      </c>
      <c r="D118" s="39"/>
    </row>
    <row r="119" spans="2:4" x14ac:dyDescent="0.25">
      <c r="B119" s="37" t="s">
        <v>62</v>
      </c>
      <c r="C119" s="38" t="s">
        <v>48</v>
      </c>
      <c r="D119" s="39"/>
    </row>
    <row r="120" spans="2:4" x14ac:dyDescent="0.25">
      <c r="B120" s="37" t="s">
        <v>54</v>
      </c>
      <c r="C120" s="38" t="s">
        <v>49</v>
      </c>
      <c r="D120" s="39"/>
    </row>
    <row r="121" spans="2:4" x14ac:dyDescent="0.25">
      <c r="B121" s="37" t="s">
        <v>51</v>
      </c>
      <c r="C121" s="38" t="s">
        <v>48</v>
      </c>
      <c r="D121" s="39"/>
    </row>
    <row r="122" spans="2:4" x14ac:dyDescent="0.25">
      <c r="B122" s="37" t="s">
        <v>63</v>
      </c>
      <c r="C122" s="38" t="s">
        <v>49</v>
      </c>
      <c r="D122" s="39"/>
    </row>
    <row r="123" spans="2:4" x14ac:dyDescent="0.25">
      <c r="B123" s="37" t="s">
        <v>52</v>
      </c>
      <c r="C123" s="38" t="s">
        <v>48</v>
      </c>
      <c r="D123" s="39"/>
    </row>
    <row r="124" spans="2:4" x14ac:dyDescent="0.25">
      <c r="B124" s="37" t="s">
        <v>57</v>
      </c>
      <c r="C124" s="38" t="s">
        <v>49</v>
      </c>
      <c r="D124" s="39"/>
    </row>
    <row r="125" spans="2:4" x14ac:dyDescent="0.25">
      <c r="B125" s="37" t="s">
        <v>60</v>
      </c>
      <c r="C125" s="38" t="s">
        <v>48</v>
      </c>
      <c r="D125" s="39"/>
    </row>
    <row r="126" spans="2:4" x14ac:dyDescent="0.25">
      <c r="B126" s="37" t="s">
        <v>64</v>
      </c>
      <c r="C126" s="38" t="s">
        <v>49</v>
      </c>
      <c r="D126" s="39"/>
    </row>
    <row r="127" spans="2:4" x14ac:dyDescent="0.25">
      <c r="B127" s="37" t="s">
        <v>63</v>
      </c>
      <c r="C127" s="38" t="s">
        <v>48</v>
      </c>
      <c r="D127" s="39"/>
    </row>
    <row r="128" spans="2:4" x14ac:dyDescent="0.25">
      <c r="B128" s="37" t="s">
        <v>58</v>
      </c>
      <c r="C128" s="38" t="s">
        <v>48</v>
      </c>
      <c r="D128" s="39"/>
    </row>
    <row r="129" spans="2:4" x14ac:dyDescent="0.25">
      <c r="B129" s="37" t="s">
        <v>52</v>
      </c>
      <c r="C129" s="38" t="s">
        <v>49</v>
      </c>
      <c r="D129" s="39"/>
    </row>
    <row r="130" spans="2:4" x14ac:dyDescent="0.25">
      <c r="B130" s="37" t="s">
        <v>59</v>
      </c>
      <c r="C130" s="38" t="s">
        <v>48</v>
      </c>
      <c r="D130" s="41"/>
    </row>
    <row r="131" spans="2:4" x14ac:dyDescent="0.25">
      <c r="B131" s="37" t="s">
        <v>60</v>
      </c>
      <c r="C131" s="38" t="s">
        <v>48</v>
      </c>
      <c r="D131" s="39"/>
    </row>
    <row r="132" spans="2:4" x14ac:dyDescent="0.25">
      <c r="B132" s="37" t="s">
        <v>57</v>
      </c>
      <c r="C132" s="38" t="s">
        <v>49</v>
      </c>
      <c r="D132" s="39"/>
    </row>
    <row r="133" spans="2:4" x14ac:dyDescent="0.25">
      <c r="B133" s="37" t="s">
        <v>58</v>
      </c>
      <c r="C133" s="38" t="s">
        <v>48</v>
      </c>
      <c r="D133" s="39"/>
    </row>
    <row r="134" spans="2:4" x14ac:dyDescent="0.25">
      <c r="B134" s="37" t="s">
        <v>52</v>
      </c>
      <c r="C134" s="38" t="s">
        <v>48</v>
      </c>
      <c r="D134" s="39"/>
    </row>
    <row r="135" spans="2:4" x14ac:dyDescent="0.25">
      <c r="B135" s="37" t="s">
        <v>60</v>
      </c>
      <c r="C135" s="38" t="s">
        <v>48</v>
      </c>
      <c r="D135" s="39"/>
    </row>
    <row r="136" spans="2:4" x14ac:dyDescent="0.25">
      <c r="B136" s="37" t="s">
        <v>55</v>
      </c>
      <c r="C136" s="38" t="s">
        <v>49</v>
      </c>
      <c r="D136" s="39"/>
    </row>
    <row r="137" spans="2:4" x14ac:dyDescent="0.25">
      <c r="B137" s="37" t="s">
        <v>60</v>
      </c>
      <c r="C137" s="38" t="s">
        <v>48</v>
      </c>
      <c r="D137" s="39"/>
    </row>
    <row r="138" spans="2:4" x14ac:dyDescent="0.25">
      <c r="B138" s="37" t="s">
        <v>62</v>
      </c>
      <c r="C138" s="38" t="s">
        <v>49</v>
      </c>
      <c r="D138" s="39"/>
    </row>
    <row r="139" spans="2:4" x14ac:dyDescent="0.25">
      <c r="B139" s="37" t="s">
        <v>56</v>
      </c>
      <c r="C139" s="38" t="s">
        <v>49</v>
      </c>
      <c r="D139" s="39"/>
    </row>
    <row r="140" spans="2:4" x14ac:dyDescent="0.25">
      <c r="B140" s="37" t="s">
        <v>51</v>
      </c>
      <c r="C140" s="38" t="s">
        <v>48</v>
      </c>
      <c r="D140" s="39"/>
    </row>
    <row r="141" spans="2:4" x14ac:dyDescent="0.25">
      <c r="B141" s="37" t="s">
        <v>63</v>
      </c>
      <c r="C141" s="38" t="s">
        <v>48</v>
      </c>
      <c r="D141" s="39"/>
    </row>
    <row r="142" spans="2:4" x14ac:dyDescent="0.25">
      <c r="B142" s="37" t="s">
        <v>60</v>
      </c>
      <c r="C142" s="38" t="s">
        <v>49</v>
      </c>
      <c r="D142" s="39"/>
    </row>
    <row r="143" spans="2:4" x14ac:dyDescent="0.25">
      <c r="B143" s="37" t="s">
        <v>60</v>
      </c>
      <c r="C143" s="38" t="s">
        <v>48</v>
      </c>
      <c r="D143" s="39"/>
    </row>
    <row r="144" spans="2:4" x14ac:dyDescent="0.25">
      <c r="B144" s="37" t="s">
        <v>63</v>
      </c>
      <c r="C144" s="38" t="s">
        <v>49</v>
      </c>
      <c r="D144" s="39"/>
    </row>
    <row r="145" spans="2:4" x14ac:dyDescent="0.25">
      <c r="B145" s="37" t="s">
        <v>60</v>
      </c>
      <c r="C145" s="38" t="s">
        <v>48</v>
      </c>
      <c r="D145" s="39"/>
    </row>
    <row r="146" spans="2:4" x14ac:dyDescent="0.25">
      <c r="B146" s="37" t="s">
        <v>57</v>
      </c>
      <c r="C146" s="38" t="s">
        <v>49</v>
      </c>
      <c r="D146" s="39"/>
    </row>
    <row r="147" spans="2:4" x14ac:dyDescent="0.25">
      <c r="B147" s="37" t="s">
        <v>59</v>
      </c>
      <c r="C147" s="38" t="s">
        <v>48</v>
      </c>
      <c r="D147" s="41"/>
    </row>
    <row r="148" spans="2:4" x14ac:dyDescent="0.25">
      <c r="B148" s="37" t="s">
        <v>61</v>
      </c>
      <c r="C148" s="38" t="s">
        <v>49</v>
      </c>
      <c r="D148" s="39"/>
    </row>
    <row r="149" spans="2:4" x14ac:dyDescent="0.25">
      <c r="B149" s="37" t="s">
        <v>60</v>
      </c>
      <c r="C149" s="38" t="s">
        <v>48</v>
      </c>
      <c r="D149" s="39"/>
    </row>
    <row r="150" spans="2:4" x14ac:dyDescent="0.25">
      <c r="B150" s="37" t="s">
        <v>60</v>
      </c>
      <c r="C150" s="38" t="s">
        <v>49</v>
      </c>
      <c r="D150" s="39"/>
    </row>
    <row r="151" spans="2:4" x14ac:dyDescent="0.25">
      <c r="B151" s="37" t="s">
        <v>56</v>
      </c>
      <c r="C151" s="38" t="s">
        <v>48</v>
      </c>
      <c r="D151" s="39"/>
    </row>
    <row r="152" spans="2:4" x14ac:dyDescent="0.25">
      <c r="B152" s="37" t="s">
        <v>56</v>
      </c>
      <c r="C152" s="38" t="s">
        <v>49</v>
      </c>
      <c r="D152" s="39"/>
    </row>
    <row r="153" spans="2:4" x14ac:dyDescent="0.25">
      <c r="B153" s="37" t="s">
        <v>52</v>
      </c>
      <c r="C153" s="38" t="s">
        <v>48</v>
      </c>
      <c r="D153" s="39"/>
    </row>
    <row r="154" spans="2:4" x14ac:dyDescent="0.25">
      <c r="B154" s="37" t="s">
        <v>63</v>
      </c>
      <c r="C154" s="38" t="s">
        <v>49</v>
      </c>
      <c r="D154" s="39"/>
    </row>
    <row r="155" spans="2:4" x14ac:dyDescent="0.25">
      <c r="B155" s="37" t="s">
        <v>61</v>
      </c>
      <c r="C155" s="38" t="s">
        <v>49</v>
      </c>
      <c r="D155" s="39"/>
    </row>
    <row r="156" spans="2:4" x14ac:dyDescent="0.25">
      <c r="B156" s="37" t="s">
        <v>62</v>
      </c>
      <c r="C156" s="38" t="s">
        <v>49</v>
      </c>
      <c r="D156" s="39"/>
    </row>
    <row r="157" spans="2:4" x14ac:dyDescent="0.25">
      <c r="B157" s="37" t="s">
        <v>57</v>
      </c>
      <c r="C157" s="38" t="s">
        <v>49</v>
      </c>
      <c r="D157" s="39"/>
    </row>
    <row r="158" spans="2:4" x14ac:dyDescent="0.25">
      <c r="B158" s="37" t="s">
        <v>63</v>
      </c>
      <c r="C158" s="38" t="s">
        <v>49</v>
      </c>
      <c r="D158" s="39"/>
    </row>
    <row r="159" spans="2:4" x14ac:dyDescent="0.25">
      <c r="B159" s="37" t="s">
        <v>63</v>
      </c>
      <c r="C159" s="38" t="s">
        <v>49</v>
      </c>
      <c r="D159" s="39"/>
    </row>
    <row r="160" spans="2:4" x14ac:dyDescent="0.25">
      <c r="B160" s="37" t="s">
        <v>61</v>
      </c>
      <c r="C160" s="38" t="s">
        <v>49</v>
      </c>
      <c r="D160" s="39"/>
    </row>
    <row r="161" spans="2:4" x14ac:dyDescent="0.25">
      <c r="B161" s="37" t="s">
        <v>54</v>
      </c>
      <c r="C161" s="38" t="s">
        <v>48</v>
      </c>
      <c r="D161" s="39"/>
    </row>
    <row r="162" spans="2:4" x14ac:dyDescent="0.25">
      <c r="B162" s="37" t="s">
        <v>52</v>
      </c>
      <c r="C162" s="38" t="s">
        <v>49</v>
      </c>
      <c r="D162" s="41"/>
    </row>
    <row r="163" spans="2:4" x14ac:dyDescent="0.25">
      <c r="B163" s="37" t="s">
        <v>62</v>
      </c>
      <c r="C163" s="38" t="s">
        <v>49</v>
      </c>
      <c r="D163" s="39"/>
    </row>
    <row r="164" spans="2:4" x14ac:dyDescent="0.25">
      <c r="B164" s="37" t="s">
        <v>60</v>
      </c>
      <c r="C164" s="38" t="s">
        <v>48</v>
      </c>
      <c r="D164" s="39"/>
    </row>
    <row r="165" spans="2:4" x14ac:dyDescent="0.25">
      <c r="B165" s="37" t="s">
        <v>60</v>
      </c>
      <c r="C165" s="38" t="s">
        <v>49</v>
      </c>
      <c r="D165" s="39"/>
    </row>
    <row r="166" spans="2:4" x14ac:dyDescent="0.25">
      <c r="B166" s="37" t="s">
        <v>63</v>
      </c>
      <c r="C166" s="38" t="s">
        <v>48</v>
      </c>
      <c r="D166" s="39"/>
    </row>
    <row r="167" spans="2:4" x14ac:dyDescent="0.25">
      <c r="B167" s="37" t="s">
        <v>60</v>
      </c>
      <c r="C167" s="38" t="s">
        <v>48</v>
      </c>
      <c r="D167" s="39"/>
    </row>
    <row r="168" spans="2:4" x14ac:dyDescent="0.25">
      <c r="B168" s="37" t="s">
        <v>54</v>
      </c>
      <c r="C168" s="38" t="s">
        <v>48</v>
      </c>
      <c r="D168" s="39"/>
    </row>
    <row r="169" spans="2:4" x14ac:dyDescent="0.25">
      <c r="B169" s="37" t="s">
        <v>62</v>
      </c>
      <c r="C169" s="38" t="s">
        <v>49</v>
      </c>
      <c r="D169" s="39"/>
    </row>
    <row r="170" spans="2:4" x14ac:dyDescent="0.25">
      <c r="B170" s="37" t="s">
        <v>61</v>
      </c>
      <c r="C170" s="38" t="s">
        <v>49</v>
      </c>
      <c r="D170" s="39"/>
    </row>
    <row r="171" spans="2:4" x14ac:dyDescent="0.25">
      <c r="B171" s="37" t="s">
        <v>55</v>
      </c>
      <c r="C171" s="38" t="s">
        <v>49</v>
      </c>
      <c r="D171" s="39"/>
    </row>
    <row r="172" spans="2:4" x14ac:dyDescent="0.25">
      <c r="B172" s="37" t="s">
        <v>57</v>
      </c>
      <c r="C172" s="38" t="s">
        <v>49</v>
      </c>
      <c r="D172" s="39"/>
    </row>
    <row r="173" spans="2:4" x14ac:dyDescent="0.25">
      <c r="B173" s="37" t="s">
        <v>60</v>
      </c>
      <c r="C173" s="38" t="s">
        <v>49</v>
      </c>
      <c r="D173" s="39"/>
    </row>
    <row r="174" spans="2:4" x14ac:dyDescent="0.25">
      <c r="B174" s="37" t="s">
        <v>63</v>
      </c>
      <c r="C174" s="38" t="s">
        <v>48</v>
      </c>
      <c r="D174" s="39"/>
    </row>
    <row r="175" spans="2:4" x14ac:dyDescent="0.25">
      <c r="B175" s="37" t="s">
        <v>57</v>
      </c>
      <c r="C175" s="38" t="s">
        <v>48</v>
      </c>
      <c r="D175" s="39"/>
    </row>
    <row r="176" spans="2:4" x14ac:dyDescent="0.25">
      <c r="B176" s="37" t="s">
        <v>63</v>
      </c>
      <c r="C176" s="38" t="s">
        <v>48</v>
      </c>
      <c r="D176" s="39"/>
    </row>
    <row r="177" spans="2:4" x14ac:dyDescent="0.25">
      <c r="B177" s="37" t="s">
        <v>62</v>
      </c>
      <c r="C177" s="38" t="s">
        <v>48</v>
      </c>
      <c r="D177" s="39"/>
    </row>
    <row r="178" spans="2:4" x14ac:dyDescent="0.25">
      <c r="B178" s="37" t="s">
        <v>61</v>
      </c>
      <c r="C178" s="38" t="s">
        <v>49</v>
      </c>
      <c r="D178" s="39"/>
    </row>
    <row r="179" spans="2:4" x14ac:dyDescent="0.25">
      <c r="B179" s="37" t="s">
        <v>54</v>
      </c>
      <c r="C179" s="38" t="s">
        <v>48</v>
      </c>
      <c r="D179" s="39"/>
    </row>
    <row r="180" spans="2:4" x14ac:dyDescent="0.25">
      <c r="B180" s="37" t="s">
        <v>54</v>
      </c>
      <c r="C180" s="38" t="s">
        <v>49</v>
      </c>
      <c r="D180" s="39"/>
    </row>
    <row r="181" spans="2:4" x14ac:dyDescent="0.25">
      <c r="B181" s="37" t="s">
        <v>54</v>
      </c>
      <c r="C181" s="38" t="s">
        <v>48</v>
      </c>
      <c r="D181" s="39"/>
    </row>
    <row r="182" spans="2:4" x14ac:dyDescent="0.25">
      <c r="B182" s="37" t="s">
        <v>57</v>
      </c>
      <c r="C182" s="38" t="s">
        <v>48</v>
      </c>
      <c r="D182" s="39"/>
    </row>
    <row r="183" spans="2:4" x14ac:dyDescent="0.25">
      <c r="B183" s="37" t="s">
        <v>60</v>
      </c>
      <c r="C183" s="38" t="s">
        <v>49</v>
      </c>
      <c r="D183" s="39"/>
    </row>
    <row r="184" spans="2:4" x14ac:dyDescent="0.25">
      <c r="B184" s="37" t="s">
        <v>62</v>
      </c>
      <c r="C184" s="38" t="s">
        <v>49</v>
      </c>
      <c r="D184" s="39"/>
    </row>
    <row r="185" spans="2:4" x14ac:dyDescent="0.25">
      <c r="B185" s="37" t="s">
        <v>60</v>
      </c>
      <c r="C185" s="38" t="s">
        <v>48</v>
      </c>
      <c r="D185" s="39"/>
    </row>
    <row r="186" spans="2:4" x14ac:dyDescent="0.25">
      <c r="B186" s="37" t="s">
        <v>60</v>
      </c>
      <c r="C186" s="38" t="s">
        <v>48</v>
      </c>
      <c r="D186" s="39"/>
    </row>
    <row r="187" spans="2:4" x14ac:dyDescent="0.25">
      <c r="B187" s="37" t="s">
        <v>60</v>
      </c>
      <c r="C187" s="38" t="s">
        <v>48</v>
      </c>
      <c r="D187" s="39"/>
    </row>
    <row r="188" spans="2:4" x14ac:dyDescent="0.25">
      <c r="B188" s="37" t="s">
        <v>57</v>
      </c>
      <c r="C188" s="38" t="s">
        <v>49</v>
      </c>
      <c r="D188" s="39"/>
    </row>
    <row r="189" spans="2:4" x14ac:dyDescent="0.25">
      <c r="B189" s="37" t="s">
        <v>53</v>
      </c>
      <c r="C189" s="38" t="s">
        <v>48</v>
      </c>
      <c r="D189" s="39"/>
    </row>
    <row r="190" spans="2:4" x14ac:dyDescent="0.25">
      <c r="B190" s="37" t="s">
        <v>60</v>
      </c>
      <c r="C190" s="38" t="s">
        <v>48</v>
      </c>
      <c r="D190" s="39"/>
    </row>
    <row r="191" spans="2:4" x14ac:dyDescent="0.25">
      <c r="B191" s="37" t="s">
        <v>61</v>
      </c>
      <c r="C191" s="38" t="s">
        <v>49</v>
      </c>
      <c r="D191" s="39"/>
    </row>
    <row r="192" spans="2:4" x14ac:dyDescent="0.25">
      <c r="B192" s="37" t="s">
        <v>58</v>
      </c>
      <c r="C192" s="38" t="s">
        <v>48</v>
      </c>
      <c r="D192" s="39"/>
    </row>
    <row r="193" spans="2:4" x14ac:dyDescent="0.25">
      <c r="B193" s="37" t="s">
        <v>62</v>
      </c>
      <c r="C193" s="38" t="s">
        <v>48</v>
      </c>
      <c r="D193" s="39"/>
    </row>
    <row r="194" spans="2:4" x14ac:dyDescent="0.25">
      <c r="B194" s="37" t="s">
        <v>60</v>
      </c>
      <c r="C194" s="38" t="s">
        <v>48</v>
      </c>
      <c r="D194" s="39"/>
    </row>
    <row r="195" spans="2:4" x14ac:dyDescent="0.25">
      <c r="B195" s="37" t="s">
        <v>61</v>
      </c>
      <c r="C195" s="38" t="s">
        <v>48</v>
      </c>
      <c r="D195" s="39"/>
    </row>
    <row r="196" spans="2:4" x14ac:dyDescent="0.25">
      <c r="B196" s="37" t="s">
        <v>61</v>
      </c>
      <c r="C196" s="38" t="s">
        <v>49</v>
      </c>
      <c r="D196" s="39"/>
    </row>
    <row r="197" spans="2:4" x14ac:dyDescent="0.25">
      <c r="B197" s="37" t="s">
        <v>57</v>
      </c>
      <c r="C197" s="38" t="s">
        <v>49</v>
      </c>
      <c r="D197" s="39"/>
    </row>
    <row r="198" spans="2:4" x14ac:dyDescent="0.25">
      <c r="B198" s="37" t="s">
        <v>60</v>
      </c>
      <c r="C198" s="38" t="s">
        <v>49</v>
      </c>
      <c r="D198" s="39"/>
    </row>
    <row r="199" spans="2:4" x14ac:dyDescent="0.25">
      <c r="B199" s="37" t="s">
        <v>60</v>
      </c>
      <c r="C199" s="38" t="s">
        <v>49</v>
      </c>
      <c r="D199" s="39"/>
    </row>
    <row r="200" spans="2:4" x14ac:dyDescent="0.25">
      <c r="B200" s="37" t="s">
        <v>64</v>
      </c>
      <c r="C200" s="38" t="s">
        <v>48</v>
      </c>
      <c r="D200" s="39"/>
    </row>
    <row r="201" spans="2:4" x14ac:dyDescent="0.25">
      <c r="B201" s="37" t="s">
        <v>64</v>
      </c>
      <c r="C201" s="38" t="s">
        <v>49</v>
      </c>
      <c r="D201" s="39"/>
    </row>
    <row r="202" spans="2:4" x14ac:dyDescent="0.25">
      <c r="B202" s="37" t="s">
        <v>63</v>
      </c>
      <c r="C202" s="38" t="s">
        <v>49</v>
      </c>
      <c r="D202" s="39"/>
    </row>
    <row r="203" spans="2:4" x14ac:dyDescent="0.25">
      <c r="B203" s="37" t="s">
        <v>59</v>
      </c>
      <c r="C203" s="38" t="s">
        <v>49</v>
      </c>
      <c r="D203" s="39"/>
    </row>
    <row r="204" spans="2:4" x14ac:dyDescent="0.25">
      <c r="B204" s="37" t="s">
        <v>58</v>
      </c>
      <c r="C204" s="38" t="s">
        <v>49</v>
      </c>
      <c r="D204" s="39"/>
    </row>
    <row r="205" spans="2:4" x14ac:dyDescent="0.25">
      <c r="B205" s="37" t="s">
        <v>62</v>
      </c>
      <c r="C205" s="38" t="s">
        <v>48</v>
      </c>
      <c r="D205" s="39"/>
    </row>
    <row r="206" spans="2:4" x14ac:dyDescent="0.25">
      <c r="B206" s="37" t="s">
        <v>63</v>
      </c>
      <c r="C206" s="38" t="s">
        <v>48</v>
      </c>
      <c r="D206" s="39"/>
    </row>
    <row r="207" spans="2:4" x14ac:dyDescent="0.25">
      <c r="B207" s="37" t="s">
        <v>63</v>
      </c>
      <c r="C207" s="38" t="s">
        <v>49</v>
      </c>
      <c r="D207" s="39"/>
    </row>
    <row r="208" spans="2:4" x14ac:dyDescent="0.25">
      <c r="B208" s="37" t="s">
        <v>60</v>
      </c>
      <c r="C208" s="38" t="s">
        <v>49</v>
      </c>
      <c r="D208" s="39"/>
    </row>
    <row r="209" spans="2:4" x14ac:dyDescent="0.25">
      <c r="B209" s="37" t="s">
        <v>60</v>
      </c>
      <c r="C209" s="38" t="s">
        <v>49</v>
      </c>
      <c r="D209" s="39"/>
    </row>
    <row r="210" spans="2:4" x14ac:dyDescent="0.25">
      <c r="B210" s="37" t="s">
        <v>54</v>
      </c>
      <c r="C210" s="38" t="s">
        <v>48</v>
      </c>
      <c r="D210" s="39"/>
    </row>
    <row r="211" spans="2:4" x14ac:dyDescent="0.25">
      <c r="B211" s="37" t="s">
        <v>53</v>
      </c>
      <c r="C211" s="38" t="s">
        <v>49</v>
      </c>
      <c r="D211" s="39"/>
    </row>
    <row r="212" spans="2:4" x14ac:dyDescent="0.25">
      <c r="B212" s="37" t="s">
        <v>54</v>
      </c>
      <c r="C212" s="38" t="s">
        <v>49</v>
      </c>
      <c r="D212" s="39"/>
    </row>
    <row r="213" spans="2:4" x14ac:dyDescent="0.25">
      <c r="B213" s="37" t="s">
        <v>63</v>
      </c>
      <c r="C213" s="38" t="s">
        <v>49</v>
      </c>
      <c r="D213" s="39"/>
    </row>
    <row r="214" spans="2:4" x14ac:dyDescent="0.25">
      <c r="B214" s="37" t="s">
        <v>56</v>
      </c>
      <c r="C214" s="38" t="s">
        <v>48</v>
      </c>
      <c r="D214" s="39"/>
    </row>
    <row r="215" spans="2:4" x14ac:dyDescent="0.25">
      <c r="B215" s="37" t="s">
        <v>60</v>
      </c>
      <c r="C215" s="38" t="s">
        <v>48</v>
      </c>
      <c r="D215" s="39"/>
    </row>
    <row r="216" spans="2:4" x14ac:dyDescent="0.25">
      <c r="B216" s="37" t="s">
        <v>63</v>
      </c>
      <c r="C216" s="38" t="s">
        <v>48</v>
      </c>
      <c r="D216" s="39"/>
    </row>
    <row r="217" spans="2:4" x14ac:dyDescent="0.25">
      <c r="B217" s="37" t="s">
        <v>61</v>
      </c>
      <c r="C217" s="38" t="s">
        <v>48</v>
      </c>
      <c r="D217" s="39"/>
    </row>
    <row r="218" spans="2:4" x14ac:dyDescent="0.25">
      <c r="B218" s="37" t="s">
        <v>63</v>
      </c>
      <c r="C218" s="38" t="s">
        <v>49</v>
      </c>
      <c r="D218" s="39"/>
    </row>
    <row r="219" spans="2:4" x14ac:dyDescent="0.25">
      <c r="B219" s="37" t="s">
        <v>63</v>
      </c>
      <c r="C219" s="38" t="s">
        <v>48</v>
      </c>
      <c r="D219" s="39"/>
    </row>
    <row r="220" spans="2:4" x14ac:dyDescent="0.25">
      <c r="B220" s="37" t="s">
        <v>63</v>
      </c>
      <c r="C220" s="38" t="s">
        <v>49</v>
      </c>
      <c r="D220" s="39"/>
    </row>
    <row r="221" spans="2:4" x14ac:dyDescent="0.25">
      <c r="B221" s="37" t="s">
        <v>52</v>
      </c>
      <c r="C221" s="38" t="s">
        <v>49</v>
      </c>
      <c r="D221" s="39"/>
    </row>
    <row r="222" spans="2:4" x14ac:dyDescent="0.25">
      <c r="B222" s="37" t="s">
        <v>60</v>
      </c>
      <c r="C222" s="38" t="s">
        <v>49</v>
      </c>
      <c r="D222" s="39"/>
    </row>
    <row r="223" spans="2:4" x14ac:dyDescent="0.25">
      <c r="B223" s="37" t="s">
        <v>54</v>
      </c>
      <c r="C223" s="38" t="s">
        <v>49</v>
      </c>
      <c r="D223" s="39"/>
    </row>
    <row r="224" spans="2:4" x14ac:dyDescent="0.25">
      <c r="B224" s="37" t="s">
        <v>63</v>
      </c>
      <c r="C224" s="38" t="s">
        <v>48</v>
      </c>
      <c r="D224" s="39"/>
    </row>
    <row r="225" spans="2:4" x14ac:dyDescent="0.25">
      <c r="B225" s="37" t="s">
        <v>62</v>
      </c>
      <c r="C225" s="38" t="s">
        <v>49</v>
      </c>
      <c r="D225" s="39"/>
    </row>
    <row r="226" spans="2:4" x14ac:dyDescent="0.25">
      <c r="B226" s="37" t="s">
        <v>57</v>
      </c>
      <c r="C226" s="38" t="s">
        <v>48</v>
      </c>
      <c r="D226" s="39"/>
    </row>
    <row r="227" spans="2:4" x14ac:dyDescent="0.25">
      <c r="B227" s="37" t="s">
        <v>60</v>
      </c>
      <c r="C227" s="38" t="s">
        <v>49</v>
      </c>
      <c r="D227" s="39"/>
    </row>
    <row r="228" spans="2:4" x14ac:dyDescent="0.25">
      <c r="B228" s="37" t="s">
        <v>60</v>
      </c>
      <c r="C228" s="38" t="s">
        <v>49</v>
      </c>
      <c r="D228" s="39"/>
    </row>
    <row r="229" spans="2:4" x14ac:dyDescent="0.25">
      <c r="B229" s="37" t="s">
        <v>55</v>
      </c>
      <c r="C229" s="38" t="s">
        <v>49</v>
      </c>
      <c r="D229" s="39"/>
    </row>
    <row r="230" spans="2:4" x14ac:dyDescent="0.25">
      <c r="B230" s="37" t="s">
        <v>57</v>
      </c>
      <c r="C230" s="38" t="s">
        <v>48</v>
      </c>
      <c r="D230" s="39"/>
    </row>
    <row r="231" spans="2:4" x14ac:dyDescent="0.25">
      <c r="B231" s="37" t="s">
        <v>62</v>
      </c>
      <c r="C231" s="38" t="s">
        <v>48</v>
      </c>
      <c r="D231" s="39"/>
    </row>
    <row r="232" spans="2:4" x14ac:dyDescent="0.25">
      <c r="B232" s="37" t="s">
        <v>59</v>
      </c>
      <c r="C232" s="38" t="s">
        <v>48</v>
      </c>
      <c r="D232" s="39"/>
    </row>
    <row r="233" spans="2:4" x14ac:dyDescent="0.25">
      <c r="B233" s="37" t="s">
        <v>63</v>
      </c>
      <c r="C233" s="38" t="s">
        <v>48</v>
      </c>
      <c r="D233" s="39"/>
    </row>
    <row r="234" spans="2:4" x14ac:dyDescent="0.25">
      <c r="B234" s="37" t="s">
        <v>51</v>
      </c>
      <c r="C234" s="38" t="s">
        <v>48</v>
      </c>
      <c r="D234" s="41"/>
    </row>
    <row r="235" spans="2:4" x14ac:dyDescent="0.25">
      <c r="B235" s="37" t="s">
        <v>51</v>
      </c>
      <c r="C235" s="38" t="s">
        <v>49</v>
      </c>
      <c r="D235" s="39"/>
    </row>
    <row r="236" spans="2:4" x14ac:dyDescent="0.25">
      <c r="B236" s="37" t="s">
        <v>60</v>
      </c>
      <c r="C236" s="38" t="s">
        <v>48</v>
      </c>
      <c r="D236" s="39"/>
    </row>
    <row r="237" spans="2:4" x14ac:dyDescent="0.25">
      <c r="B237" s="37" t="s">
        <v>62</v>
      </c>
      <c r="C237" s="38" t="s">
        <v>48</v>
      </c>
      <c r="D237" s="39"/>
    </row>
    <row r="238" spans="2:4" x14ac:dyDescent="0.25">
      <c r="B238" s="37" t="s">
        <v>62</v>
      </c>
      <c r="C238" s="38" t="s">
        <v>49</v>
      </c>
      <c r="D238" s="39"/>
    </row>
    <row r="239" spans="2:4" x14ac:dyDescent="0.25">
      <c r="B239" s="37" t="s">
        <v>60</v>
      </c>
      <c r="C239" s="38" t="s">
        <v>49</v>
      </c>
      <c r="D239" s="39"/>
    </row>
    <row r="240" spans="2:4" x14ac:dyDescent="0.25">
      <c r="B240" s="37" t="s">
        <v>62</v>
      </c>
      <c r="C240" s="38" t="s">
        <v>48</v>
      </c>
      <c r="D240" s="39"/>
    </row>
    <row r="241" spans="2:4" x14ac:dyDescent="0.25">
      <c r="B241" s="37" t="s">
        <v>61</v>
      </c>
      <c r="C241" s="38" t="s">
        <v>48</v>
      </c>
      <c r="D241" s="39"/>
    </row>
    <row r="242" spans="2:4" x14ac:dyDescent="0.25">
      <c r="B242" s="37" t="s">
        <v>54</v>
      </c>
      <c r="C242" s="38" t="s">
        <v>48</v>
      </c>
      <c r="D242" s="39"/>
    </row>
    <row r="243" spans="2:4" x14ac:dyDescent="0.25">
      <c r="B243" s="37" t="s">
        <v>60</v>
      </c>
      <c r="C243" s="38" t="s">
        <v>48</v>
      </c>
      <c r="D243" s="39"/>
    </row>
    <row r="244" spans="2:4" x14ac:dyDescent="0.25">
      <c r="B244" s="37" t="s">
        <v>60</v>
      </c>
      <c r="C244" s="38" t="s">
        <v>48</v>
      </c>
      <c r="D244" s="39"/>
    </row>
    <row r="245" spans="2:4" x14ac:dyDescent="0.25">
      <c r="B245" s="37" t="s">
        <v>54</v>
      </c>
      <c r="C245" s="38" t="s">
        <v>49</v>
      </c>
      <c r="D245" s="39"/>
    </row>
    <row r="246" spans="2:4" x14ac:dyDescent="0.25">
      <c r="B246" s="37" t="s">
        <v>63</v>
      </c>
      <c r="C246" s="38" t="s">
        <v>49</v>
      </c>
      <c r="D246" s="39"/>
    </row>
    <row r="247" spans="2:4" x14ac:dyDescent="0.25">
      <c r="B247" s="37" t="s">
        <v>63</v>
      </c>
      <c r="C247" s="38" t="s">
        <v>49</v>
      </c>
      <c r="D247" s="39"/>
    </row>
    <row r="248" spans="2:4" x14ac:dyDescent="0.25">
      <c r="B248" s="37" t="s">
        <v>61</v>
      </c>
      <c r="C248" s="38" t="s">
        <v>49</v>
      </c>
      <c r="D248" s="39"/>
    </row>
    <row r="249" spans="2:4" x14ac:dyDescent="0.25">
      <c r="B249" s="37" t="s">
        <v>60</v>
      </c>
      <c r="C249" s="38" t="s">
        <v>48</v>
      </c>
      <c r="D249" s="39"/>
    </row>
    <row r="250" spans="2:4" x14ac:dyDescent="0.25">
      <c r="B250" s="37" t="s">
        <v>63</v>
      </c>
      <c r="C250" s="38" t="s">
        <v>48</v>
      </c>
      <c r="D250" s="39"/>
    </row>
    <row r="251" spans="2:4" x14ac:dyDescent="0.25">
      <c r="B251" s="37" t="s">
        <v>63</v>
      </c>
      <c r="C251" s="38" t="s">
        <v>48</v>
      </c>
      <c r="D251" s="39"/>
    </row>
    <row r="252" spans="2:4" x14ac:dyDescent="0.25">
      <c r="B252" s="37" t="s">
        <v>63</v>
      </c>
      <c r="C252" s="38" t="s">
        <v>49</v>
      </c>
      <c r="D252" s="39"/>
    </row>
    <row r="253" spans="2:4" x14ac:dyDescent="0.25">
      <c r="B253" s="37" t="s">
        <v>60</v>
      </c>
      <c r="C253" s="38" t="s">
        <v>48</v>
      </c>
      <c r="D253" s="39"/>
    </row>
    <row r="254" spans="2:4" x14ac:dyDescent="0.25">
      <c r="B254" s="37" t="s">
        <v>55</v>
      </c>
      <c r="C254" s="38" t="s">
        <v>48</v>
      </c>
      <c r="D254" s="39"/>
    </row>
    <row r="255" spans="2:4" x14ac:dyDescent="0.25">
      <c r="B255" s="37" t="s">
        <v>61</v>
      </c>
      <c r="C255" s="38" t="s">
        <v>49</v>
      </c>
      <c r="D255" s="39"/>
    </row>
    <row r="256" spans="2:4" x14ac:dyDescent="0.25">
      <c r="B256" s="37" t="s">
        <v>63</v>
      </c>
      <c r="C256" s="38" t="s">
        <v>49</v>
      </c>
      <c r="D256" s="39"/>
    </row>
    <row r="257" spans="2:4" x14ac:dyDescent="0.25">
      <c r="B257" s="37" t="s">
        <v>54</v>
      </c>
      <c r="C257" s="38" t="s">
        <v>48</v>
      </c>
      <c r="D257" s="39"/>
    </row>
    <row r="258" spans="2:4" x14ac:dyDescent="0.25">
      <c r="B258" s="37" t="s">
        <v>61</v>
      </c>
      <c r="C258" s="38" t="s">
        <v>49</v>
      </c>
      <c r="D258" s="39"/>
    </row>
    <row r="259" spans="2:4" x14ac:dyDescent="0.25">
      <c r="B259" s="37" t="s">
        <v>61</v>
      </c>
      <c r="C259" s="38" t="s">
        <v>49</v>
      </c>
      <c r="D259" s="39"/>
    </row>
    <row r="260" spans="2:4" x14ac:dyDescent="0.25">
      <c r="B260" s="37" t="s">
        <v>54</v>
      </c>
      <c r="C260" s="38" t="s">
        <v>48</v>
      </c>
      <c r="D260" s="39"/>
    </row>
    <row r="261" spans="2:4" x14ac:dyDescent="0.25">
      <c r="B261" s="37" t="s">
        <v>57</v>
      </c>
      <c r="C261" s="38" t="s">
        <v>49</v>
      </c>
      <c r="D261" s="39"/>
    </row>
    <row r="262" spans="2:4" x14ac:dyDescent="0.25">
      <c r="B262" s="37" t="s">
        <v>60</v>
      </c>
      <c r="C262" s="38" t="s">
        <v>49</v>
      </c>
      <c r="D262" s="39"/>
    </row>
    <row r="263" spans="2:4" x14ac:dyDescent="0.25">
      <c r="B263" s="37" t="s">
        <v>63</v>
      </c>
      <c r="C263" s="38" t="s">
        <v>49</v>
      </c>
      <c r="D263" s="39"/>
    </row>
    <row r="264" spans="2:4" x14ac:dyDescent="0.25">
      <c r="B264" s="37" t="s">
        <v>63</v>
      </c>
      <c r="C264" s="38" t="s">
        <v>48</v>
      </c>
      <c r="D264" s="39"/>
    </row>
    <row r="265" spans="2:4" x14ac:dyDescent="0.25">
      <c r="B265" s="37" t="s">
        <v>57</v>
      </c>
      <c r="C265" s="38" t="s">
        <v>48</v>
      </c>
      <c r="D265" s="39"/>
    </row>
    <row r="266" spans="2:4" x14ac:dyDescent="0.25">
      <c r="B266" s="37" t="s">
        <v>63</v>
      </c>
      <c r="C266" s="38" t="s">
        <v>49</v>
      </c>
      <c r="D266" s="39"/>
    </row>
    <row r="267" spans="2:4" x14ac:dyDescent="0.25">
      <c r="B267" s="37" t="s">
        <v>61</v>
      </c>
      <c r="C267" s="38" t="s">
        <v>49</v>
      </c>
      <c r="D267" s="39"/>
    </row>
    <row r="268" spans="2:4" x14ac:dyDescent="0.25">
      <c r="B268" s="37" t="s">
        <v>60</v>
      </c>
      <c r="C268" s="38" t="s">
        <v>48</v>
      </c>
      <c r="D268" s="39"/>
    </row>
    <row r="269" spans="2:4" x14ac:dyDescent="0.25">
      <c r="B269" s="37" t="s">
        <v>56</v>
      </c>
      <c r="C269" s="38" t="s">
        <v>48</v>
      </c>
      <c r="D269" s="39"/>
    </row>
    <row r="270" spans="2:4" x14ac:dyDescent="0.25">
      <c r="B270" s="37" t="s">
        <v>52</v>
      </c>
      <c r="C270" s="38" t="s">
        <v>49</v>
      </c>
      <c r="D270" s="39"/>
    </row>
    <row r="271" spans="2:4" x14ac:dyDescent="0.25">
      <c r="B271" s="37" t="s">
        <v>62</v>
      </c>
      <c r="C271" s="38" t="s">
        <v>48</v>
      </c>
      <c r="D271" s="39"/>
    </row>
    <row r="272" spans="2:4" x14ac:dyDescent="0.25">
      <c r="B272" s="37" t="s">
        <v>54</v>
      </c>
      <c r="C272" s="38" t="s">
        <v>48</v>
      </c>
      <c r="D272" s="39"/>
    </row>
    <row r="273" spans="2:4" x14ac:dyDescent="0.25">
      <c r="B273" s="37" t="s">
        <v>61</v>
      </c>
      <c r="C273" s="38" t="s">
        <v>48</v>
      </c>
      <c r="D273" s="39"/>
    </row>
    <row r="274" spans="2:4" x14ac:dyDescent="0.25">
      <c r="B274" s="37" t="s">
        <v>60</v>
      </c>
      <c r="C274" s="38" t="s">
        <v>48</v>
      </c>
      <c r="D274" s="39"/>
    </row>
    <row r="275" spans="2:4" x14ac:dyDescent="0.25">
      <c r="B275" s="37" t="s">
        <v>53</v>
      </c>
      <c r="C275" s="38" t="s">
        <v>48</v>
      </c>
      <c r="D275" s="39"/>
    </row>
    <row r="276" spans="2:4" x14ac:dyDescent="0.25">
      <c r="B276" s="37" t="s">
        <v>52</v>
      </c>
      <c r="C276" s="38" t="s">
        <v>49</v>
      </c>
      <c r="D276" s="39"/>
    </row>
    <row r="277" spans="2:4" x14ac:dyDescent="0.25">
      <c r="B277" s="37" t="s">
        <v>61</v>
      </c>
      <c r="C277" s="38" t="s">
        <v>49</v>
      </c>
      <c r="D277" s="39"/>
    </row>
    <row r="278" spans="2:4" x14ac:dyDescent="0.25">
      <c r="B278" s="37" t="s">
        <v>57</v>
      </c>
      <c r="C278" s="38" t="s">
        <v>48</v>
      </c>
      <c r="D278" s="39"/>
    </row>
    <row r="279" spans="2:4" x14ac:dyDescent="0.25">
      <c r="B279" s="37" t="s">
        <v>61</v>
      </c>
      <c r="C279" s="38" t="s">
        <v>49</v>
      </c>
      <c r="D279" s="39"/>
    </row>
    <row r="280" spans="2:4" x14ac:dyDescent="0.25">
      <c r="B280" s="37" t="s">
        <v>63</v>
      </c>
      <c r="C280" s="38" t="s">
        <v>48</v>
      </c>
      <c r="D280" s="39"/>
    </row>
    <row r="281" spans="2:4" x14ac:dyDescent="0.25">
      <c r="B281" s="37" t="s">
        <v>62</v>
      </c>
      <c r="C281" s="38" t="s">
        <v>48</v>
      </c>
      <c r="D281" s="39"/>
    </row>
    <row r="282" spans="2:4" x14ac:dyDescent="0.25">
      <c r="B282" s="37" t="s">
        <v>61</v>
      </c>
      <c r="C282" s="38" t="s">
        <v>49</v>
      </c>
      <c r="D282" s="39"/>
    </row>
    <row r="283" spans="2:4" x14ac:dyDescent="0.25">
      <c r="B283" s="37" t="s">
        <v>64</v>
      </c>
      <c r="C283" s="38" t="s">
        <v>49</v>
      </c>
      <c r="D283" s="39"/>
    </row>
    <row r="284" spans="2:4" x14ac:dyDescent="0.25">
      <c r="B284" s="37" t="s">
        <v>54</v>
      </c>
      <c r="C284" s="38" t="s">
        <v>49</v>
      </c>
      <c r="D284" s="39"/>
    </row>
    <row r="285" spans="2:4" x14ac:dyDescent="0.25">
      <c r="B285" s="37" t="s">
        <v>54</v>
      </c>
      <c r="C285" s="38" t="s">
        <v>48</v>
      </c>
      <c r="D285" s="39"/>
    </row>
    <row r="286" spans="2:4" x14ac:dyDescent="0.25">
      <c r="B286" s="37" t="s">
        <v>64</v>
      </c>
      <c r="C286" s="38" t="s">
        <v>49</v>
      </c>
      <c r="D286" s="39"/>
    </row>
    <row r="287" spans="2:4" x14ac:dyDescent="0.25">
      <c r="B287" s="37" t="s">
        <v>60</v>
      </c>
      <c r="C287" s="38" t="s">
        <v>49</v>
      </c>
      <c r="D287" s="39"/>
    </row>
    <row r="288" spans="2:4" x14ac:dyDescent="0.25">
      <c r="B288" s="37" t="s">
        <v>60</v>
      </c>
      <c r="C288" s="38" t="s">
        <v>48</v>
      </c>
      <c r="D288" s="39"/>
    </row>
    <row r="289" spans="2:4" x14ac:dyDescent="0.25">
      <c r="B289" s="37" t="s">
        <v>60</v>
      </c>
      <c r="C289" s="38" t="s">
        <v>49</v>
      </c>
      <c r="D289" s="39"/>
    </row>
    <row r="290" spans="2:4" x14ac:dyDescent="0.25">
      <c r="B290" s="37" t="s">
        <v>57</v>
      </c>
      <c r="C290" s="38" t="s">
        <v>49</v>
      </c>
      <c r="D290" s="39"/>
    </row>
    <row r="291" spans="2:4" x14ac:dyDescent="0.25">
      <c r="B291" s="37" t="s">
        <v>60</v>
      </c>
      <c r="C291" s="38" t="s">
        <v>49</v>
      </c>
      <c r="D291" s="39"/>
    </row>
    <row r="292" spans="2:4" x14ac:dyDescent="0.25">
      <c r="B292" s="37" t="s">
        <v>57</v>
      </c>
      <c r="C292" s="38" t="s">
        <v>48</v>
      </c>
      <c r="D292" s="39"/>
    </row>
    <row r="293" spans="2:4" x14ac:dyDescent="0.25">
      <c r="B293" s="37" t="s">
        <v>60</v>
      </c>
      <c r="C293" s="38" t="s">
        <v>48</v>
      </c>
      <c r="D293" s="39"/>
    </row>
    <row r="294" spans="2:4" x14ac:dyDescent="0.25">
      <c r="B294" s="37" t="s">
        <v>54</v>
      </c>
      <c r="C294" s="38" t="s">
        <v>49</v>
      </c>
      <c r="D294" s="39"/>
    </row>
    <row r="295" spans="2:4" x14ac:dyDescent="0.25">
      <c r="B295" s="37" t="s">
        <v>60</v>
      </c>
      <c r="C295" s="38" t="s">
        <v>48</v>
      </c>
      <c r="D295" s="39"/>
    </row>
    <row r="296" spans="2:4" x14ac:dyDescent="0.25">
      <c r="B296" s="37" t="s">
        <v>60</v>
      </c>
      <c r="C296" s="38" t="s">
        <v>48</v>
      </c>
      <c r="D296" s="39"/>
    </row>
    <row r="297" spans="2:4" x14ac:dyDescent="0.25">
      <c r="B297" s="37" t="s">
        <v>55</v>
      </c>
      <c r="C297" s="38" t="s">
        <v>48</v>
      </c>
      <c r="D297" s="41"/>
    </row>
    <row r="298" spans="2:4" x14ac:dyDescent="0.25">
      <c r="B298" s="37" t="s">
        <v>54</v>
      </c>
      <c r="C298" s="38" t="s">
        <v>49</v>
      </c>
      <c r="D298" s="39"/>
    </row>
    <row r="299" spans="2:4" x14ac:dyDescent="0.25">
      <c r="B299" s="37" t="s">
        <v>60</v>
      </c>
      <c r="C299" s="38" t="s">
        <v>48</v>
      </c>
      <c r="D299" s="39"/>
    </row>
    <row r="300" spans="2:4" x14ac:dyDescent="0.25">
      <c r="B300" s="37" t="s">
        <v>60</v>
      </c>
      <c r="C300" s="38" t="s">
        <v>49</v>
      </c>
      <c r="D300" s="39"/>
    </row>
    <row r="301" spans="2:4" x14ac:dyDescent="0.25">
      <c r="B301" s="37" t="s">
        <v>63</v>
      </c>
      <c r="C301" s="38" t="s">
        <v>48</v>
      </c>
      <c r="D301" s="39"/>
    </row>
    <row r="302" spans="2:4" x14ac:dyDescent="0.25">
      <c r="B302" s="37" t="s">
        <v>52</v>
      </c>
      <c r="C302" s="38" t="s">
        <v>49</v>
      </c>
      <c r="D302" s="39"/>
    </row>
    <row r="303" spans="2:4" x14ac:dyDescent="0.25">
      <c r="B303" s="37" t="s">
        <v>61</v>
      </c>
      <c r="C303" s="38" t="s">
        <v>48</v>
      </c>
      <c r="D303" s="39"/>
    </row>
    <row r="304" spans="2:4" x14ac:dyDescent="0.25">
      <c r="B304" s="37" t="s">
        <v>52</v>
      </c>
      <c r="C304" s="38" t="s">
        <v>49</v>
      </c>
      <c r="D304" s="39"/>
    </row>
    <row r="305" spans="2:4" x14ac:dyDescent="0.25">
      <c r="B305" s="37" t="s">
        <v>63</v>
      </c>
      <c r="C305" s="38" t="s">
        <v>48</v>
      </c>
      <c r="D305" s="39"/>
    </row>
    <row r="306" spans="2:4" x14ac:dyDescent="0.25">
      <c r="B306" s="37" t="s">
        <v>63</v>
      </c>
      <c r="C306" s="38" t="s">
        <v>49</v>
      </c>
      <c r="D306" s="39"/>
    </row>
    <row r="307" spans="2:4" x14ac:dyDescent="0.25">
      <c r="B307" s="37" t="s">
        <v>64</v>
      </c>
      <c r="C307" s="38" t="s">
        <v>48</v>
      </c>
      <c r="D307" s="39"/>
    </row>
    <row r="308" spans="2:4" x14ac:dyDescent="0.25">
      <c r="B308" s="37" t="s">
        <v>63</v>
      </c>
      <c r="C308" s="38" t="s">
        <v>49</v>
      </c>
      <c r="D308" s="39"/>
    </row>
    <row r="309" spans="2:4" x14ac:dyDescent="0.25">
      <c r="B309" s="37" t="s">
        <v>52</v>
      </c>
      <c r="C309" s="38" t="s">
        <v>48</v>
      </c>
      <c r="D309" s="39"/>
    </row>
    <row r="310" spans="2:4" x14ac:dyDescent="0.25">
      <c r="B310" s="37" t="s">
        <v>60</v>
      </c>
      <c r="C310" s="38" t="s">
        <v>48</v>
      </c>
      <c r="D310" s="39"/>
    </row>
    <row r="311" spans="2:4" x14ac:dyDescent="0.25">
      <c r="B311" s="37" t="s">
        <v>62</v>
      </c>
      <c r="C311" s="38" t="s">
        <v>49</v>
      </c>
      <c r="D311" s="39"/>
    </row>
    <row r="312" spans="2:4" x14ac:dyDescent="0.25">
      <c r="B312" s="37" t="s">
        <v>63</v>
      </c>
      <c r="C312" s="38" t="s">
        <v>49</v>
      </c>
      <c r="D312" s="39"/>
    </row>
    <row r="313" spans="2:4" x14ac:dyDescent="0.25">
      <c r="B313" s="37" t="s">
        <v>59</v>
      </c>
      <c r="C313" s="38" t="s">
        <v>48</v>
      </c>
      <c r="D313" s="39"/>
    </row>
    <row r="314" spans="2:4" x14ac:dyDescent="0.25">
      <c r="B314" s="37" t="s">
        <v>53</v>
      </c>
      <c r="C314" s="38" t="s">
        <v>48</v>
      </c>
      <c r="D314" s="39"/>
    </row>
    <row r="315" spans="2:4" x14ac:dyDescent="0.25">
      <c r="B315" s="37" t="s">
        <v>63</v>
      </c>
      <c r="C315" s="38" t="s">
        <v>49</v>
      </c>
      <c r="D315" s="39"/>
    </row>
    <row r="316" spans="2:4" x14ac:dyDescent="0.25">
      <c r="B316" s="37" t="s">
        <v>54</v>
      </c>
      <c r="C316" s="38" t="s">
        <v>49</v>
      </c>
      <c r="D316" s="39"/>
    </row>
    <row r="317" spans="2:4" x14ac:dyDescent="0.25">
      <c r="B317" s="37" t="s">
        <v>60</v>
      </c>
      <c r="C317" s="38" t="s">
        <v>48</v>
      </c>
      <c r="D317" s="39"/>
    </row>
    <row r="318" spans="2:4" x14ac:dyDescent="0.25">
      <c r="B318" s="37" t="s">
        <v>64</v>
      </c>
      <c r="C318" s="38" t="s">
        <v>49</v>
      </c>
      <c r="D318" s="39"/>
    </row>
    <row r="319" spans="2:4" x14ac:dyDescent="0.25">
      <c r="B319" s="37" t="s">
        <v>63</v>
      </c>
      <c r="C319" s="38" t="s">
        <v>48</v>
      </c>
      <c r="D319" s="39"/>
    </row>
    <row r="320" spans="2:4" x14ac:dyDescent="0.25">
      <c r="B320" s="37" t="s">
        <v>54</v>
      </c>
      <c r="C320" s="38" t="s">
        <v>48</v>
      </c>
      <c r="D320" s="39"/>
    </row>
    <row r="321" spans="2:4" x14ac:dyDescent="0.25">
      <c r="B321" s="37" t="s">
        <v>62</v>
      </c>
      <c r="C321" s="38" t="s">
        <v>49</v>
      </c>
      <c r="D321" s="39"/>
    </row>
    <row r="322" spans="2:4" x14ac:dyDescent="0.25">
      <c r="B322" s="37" t="s">
        <v>58</v>
      </c>
      <c r="C322" s="38" t="s">
        <v>48</v>
      </c>
      <c r="D322" s="39"/>
    </row>
    <row r="323" spans="2:4" x14ac:dyDescent="0.25">
      <c r="B323" s="37" t="s">
        <v>64</v>
      </c>
      <c r="C323" s="38" t="s">
        <v>48</v>
      </c>
      <c r="D323" s="39"/>
    </row>
    <row r="324" spans="2:4" x14ac:dyDescent="0.25">
      <c r="B324" s="37" t="s">
        <v>60</v>
      </c>
      <c r="C324" s="38" t="s">
        <v>49</v>
      </c>
      <c r="D324" s="39"/>
    </row>
    <row r="325" spans="2:4" x14ac:dyDescent="0.25">
      <c r="B325" s="37" t="s">
        <v>62</v>
      </c>
      <c r="C325" s="38" t="s">
        <v>49</v>
      </c>
      <c r="D325" s="39"/>
    </row>
    <row r="326" spans="2:4" x14ac:dyDescent="0.25">
      <c r="B326" s="37" t="s">
        <v>57</v>
      </c>
      <c r="C326" s="38" t="s">
        <v>49</v>
      </c>
      <c r="D326" s="39"/>
    </row>
    <row r="327" spans="2:4" x14ac:dyDescent="0.25">
      <c r="B327" s="37" t="s">
        <v>57</v>
      </c>
      <c r="C327" s="38" t="s">
        <v>49</v>
      </c>
      <c r="D327" s="39"/>
    </row>
    <row r="328" spans="2:4" x14ac:dyDescent="0.25">
      <c r="B328" s="37" t="s">
        <v>62</v>
      </c>
      <c r="C328" s="38" t="s">
        <v>48</v>
      </c>
      <c r="D328" s="39"/>
    </row>
    <row r="329" spans="2:4" x14ac:dyDescent="0.25">
      <c r="B329" s="37" t="s">
        <v>60</v>
      </c>
      <c r="C329" s="38" t="s">
        <v>48</v>
      </c>
      <c r="D329" s="39"/>
    </row>
    <row r="330" spans="2:4" x14ac:dyDescent="0.25">
      <c r="B330" s="37" t="s">
        <v>54</v>
      </c>
      <c r="C330" s="38" t="s">
        <v>49</v>
      </c>
      <c r="D330" s="39"/>
    </row>
    <row r="331" spans="2:4" x14ac:dyDescent="0.25">
      <c r="B331" s="37" t="s">
        <v>62</v>
      </c>
      <c r="C331" s="38" t="s">
        <v>48</v>
      </c>
      <c r="D331" s="39"/>
    </row>
    <row r="332" spans="2:4" x14ac:dyDescent="0.25">
      <c r="B332" s="37" t="s">
        <v>62</v>
      </c>
      <c r="C332" s="38" t="s">
        <v>48</v>
      </c>
      <c r="D332" s="39"/>
    </row>
    <row r="333" spans="2:4" x14ac:dyDescent="0.25">
      <c r="B333" s="37" t="s">
        <v>60</v>
      </c>
      <c r="C333" s="38" t="s">
        <v>48</v>
      </c>
      <c r="D333" s="39"/>
    </row>
    <row r="334" spans="2:4" x14ac:dyDescent="0.25">
      <c r="B334" s="37" t="s">
        <v>63</v>
      </c>
      <c r="C334" s="38" t="s">
        <v>49</v>
      </c>
      <c r="D334" s="39"/>
    </row>
    <row r="335" spans="2:4" x14ac:dyDescent="0.25">
      <c r="B335" s="37" t="s">
        <v>60</v>
      </c>
      <c r="C335" s="38" t="s">
        <v>48</v>
      </c>
      <c r="D335" s="39"/>
    </row>
    <row r="336" spans="2:4" x14ac:dyDescent="0.25">
      <c r="B336" s="37" t="s">
        <v>52</v>
      </c>
      <c r="C336" s="38" t="s">
        <v>49</v>
      </c>
      <c r="D336" s="39"/>
    </row>
    <row r="337" spans="2:4" x14ac:dyDescent="0.25">
      <c r="B337" s="37" t="s">
        <v>54</v>
      </c>
      <c r="C337" s="38" t="s">
        <v>48</v>
      </c>
      <c r="D337" s="39"/>
    </row>
    <row r="338" spans="2:4" x14ac:dyDescent="0.25">
      <c r="B338" s="37" t="s">
        <v>63</v>
      </c>
      <c r="C338" s="38" t="s">
        <v>49</v>
      </c>
      <c r="D338" s="39"/>
    </row>
    <row r="339" spans="2:4" x14ac:dyDescent="0.25">
      <c r="B339" s="37" t="s">
        <v>52</v>
      </c>
      <c r="C339" s="38" t="s">
        <v>49</v>
      </c>
      <c r="D339" s="39"/>
    </row>
    <row r="340" spans="2:4" x14ac:dyDescent="0.25">
      <c r="B340" s="37" t="s">
        <v>52</v>
      </c>
      <c r="C340" s="38" t="s">
        <v>49</v>
      </c>
      <c r="D340" s="39"/>
    </row>
    <row r="341" spans="2:4" x14ac:dyDescent="0.25">
      <c r="B341" s="37" t="s">
        <v>62</v>
      </c>
      <c r="C341" s="38" t="s">
        <v>49</v>
      </c>
      <c r="D341" s="39"/>
    </row>
    <row r="342" spans="2:4" x14ac:dyDescent="0.25">
      <c r="B342" s="37" t="s">
        <v>60</v>
      </c>
      <c r="C342" s="38" t="s">
        <v>49</v>
      </c>
      <c r="D342" s="39"/>
    </row>
    <row r="343" spans="2:4" x14ac:dyDescent="0.25">
      <c r="B343" s="37" t="s">
        <v>57</v>
      </c>
      <c r="C343" s="38" t="s">
        <v>48</v>
      </c>
      <c r="D343" s="39"/>
    </row>
    <row r="344" spans="2:4" x14ac:dyDescent="0.25">
      <c r="B344" s="37" t="s">
        <v>61</v>
      </c>
      <c r="C344" s="38" t="s">
        <v>48</v>
      </c>
      <c r="D344" s="39"/>
    </row>
    <row r="345" spans="2:4" x14ac:dyDescent="0.25">
      <c r="B345" s="37" t="s">
        <v>51</v>
      </c>
      <c r="C345" s="38" t="s">
        <v>49</v>
      </c>
      <c r="D345" s="39"/>
    </row>
    <row r="346" spans="2:4" x14ac:dyDescent="0.25">
      <c r="B346" s="37" t="s">
        <v>63</v>
      </c>
      <c r="C346" s="38" t="s">
        <v>48</v>
      </c>
      <c r="D346" s="39"/>
    </row>
    <row r="347" spans="2:4" x14ac:dyDescent="0.25">
      <c r="B347" s="37" t="s">
        <v>63</v>
      </c>
      <c r="C347" s="38" t="s">
        <v>49</v>
      </c>
      <c r="D347" s="39"/>
    </row>
    <row r="348" spans="2:4" x14ac:dyDescent="0.25">
      <c r="B348" s="37" t="s">
        <v>54</v>
      </c>
      <c r="C348" s="38" t="s">
        <v>49</v>
      </c>
      <c r="D348" s="39"/>
    </row>
    <row r="349" spans="2:4" x14ac:dyDescent="0.25">
      <c r="B349" s="37" t="s">
        <v>63</v>
      </c>
      <c r="C349" s="38" t="s">
        <v>49</v>
      </c>
      <c r="D349" s="39"/>
    </row>
    <row r="350" spans="2:4" x14ac:dyDescent="0.25">
      <c r="B350" s="37" t="s">
        <v>62</v>
      </c>
      <c r="C350" s="38" t="s">
        <v>49</v>
      </c>
      <c r="D350" s="39"/>
    </row>
    <row r="351" spans="2:4" x14ac:dyDescent="0.25">
      <c r="B351" s="37" t="s">
        <v>63</v>
      </c>
      <c r="C351" s="38" t="s">
        <v>48</v>
      </c>
      <c r="D351" s="39"/>
    </row>
    <row r="352" spans="2:4" x14ac:dyDescent="0.25">
      <c r="B352" s="37" t="s">
        <v>60</v>
      </c>
      <c r="C352" s="38" t="s">
        <v>48</v>
      </c>
      <c r="D352" s="39"/>
    </row>
    <row r="353" spans="2:4" x14ac:dyDescent="0.25">
      <c r="B353" s="37" t="s">
        <v>60</v>
      </c>
      <c r="C353" s="38" t="s">
        <v>49</v>
      </c>
      <c r="D353" s="39"/>
    </row>
    <row r="354" spans="2:4" x14ac:dyDescent="0.25">
      <c r="B354" s="37" t="s">
        <v>57</v>
      </c>
      <c r="C354" s="38" t="s">
        <v>49</v>
      </c>
      <c r="D354" s="39"/>
    </row>
    <row r="355" spans="2:4" x14ac:dyDescent="0.25">
      <c r="B355" s="37" t="s">
        <v>63</v>
      </c>
      <c r="C355" s="38" t="s">
        <v>49</v>
      </c>
      <c r="D355" s="39"/>
    </row>
    <row r="356" spans="2:4" x14ac:dyDescent="0.25">
      <c r="B356" s="37" t="s">
        <v>64</v>
      </c>
      <c r="C356" s="38" t="s">
        <v>49</v>
      </c>
      <c r="D356" s="39"/>
    </row>
    <row r="357" spans="2:4" x14ac:dyDescent="0.25">
      <c r="B357" s="37" t="s">
        <v>57</v>
      </c>
      <c r="C357" s="38" t="s">
        <v>49</v>
      </c>
      <c r="D357" s="39"/>
    </row>
    <row r="358" spans="2:4" x14ac:dyDescent="0.25">
      <c r="B358" s="37" t="s">
        <v>60</v>
      </c>
      <c r="C358" s="38" t="s">
        <v>49</v>
      </c>
      <c r="D358" s="39"/>
    </row>
    <row r="359" spans="2:4" x14ac:dyDescent="0.25">
      <c r="B359" s="37" t="s">
        <v>60</v>
      </c>
      <c r="C359" s="38" t="s">
        <v>48</v>
      </c>
      <c r="D359" s="39"/>
    </row>
    <row r="360" spans="2:4" x14ac:dyDescent="0.25">
      <c r="B360" s="37" t="s">
        <v>62</v>
      </c>
      <c r="C360" s="38" t="s">
        <v>49</v>
      </c>
      <c r="D360" s="39"/>
    </row>
    <row r="361" spans="2:4" x14ac:dyDescent="0.25">
      <c r="B361" s="37" t="s">
        <v>60</v>
      </c>
      <c r="C361" s="38" t="s">
        <v>49</v>
      </c>
      <c r="D361" s="39"/>
    </row>
    <row r="362" spans="2:4" x14ac:dyDescent="0.25">
      <c r="B362" s="37" t="s">
        <v>56</v>
      </c>
      <c r="C362" s="38" t="s">
        <v>48</v>
      </c>
      <c r="D362" s="39"/>
    </row>
    <row r="363" spans="2:4" x14ac:dyDescent="0.25">
      <c r="B363" s="37" t="s">
        <v>63</v>
      </c>
      <c r="C363" s="38" t="s">
        <v>48</v>
      </c>
      <c r="D363" s="39"/>
    </row>
    <row r="364" spans="2:4" x14ac:dyDescent="0.25">
      <c r="B364" s="37" t="s">
        <v>63</v>
      </c>
      <c r="C364" s="38" t="s">
        <v>48</v>
      </c>
      <c r="D364" s="39"/>
    </row>
    <row r="365" spans="2:4" x14ac:dyDescent="0.25">
      <c r="B365" s="37" t="s">
        <v>63</v>
      </c>
      <c r="C365" s="38" t="s">
        <v>48</v>
      </c>
      <c r="D365" s="39"/>
    </row>
    <row r="366" spans="2:4" x14ac:dyDescent="0.25">
      <c r="B366" s="37" t="s">
        <v>63</v>
      </c>
      <c r="C366" s="38" t="s">
        <v>48</v>
      </c>
      <c r="D366" s="39"/>
    </row>
    <row r="367" spans="2:4" x14ac:dyDescent="0.25">
      <c r="B367" s="37" t="s">
        <v>52</v>
      </c>
      <c r="C367" s="38" t="s">
        <v>49</v>
      </c>
      <c r="D367" s="39"/>
    </row>
    <row r="368" spans="2:4" x14ac:dyDescent="0.25">
      <c r="B368" s="37" t="s">
        <v>63</v>
      </c>
      <c r="C368" s="38" t="s">
        <v>48</v>
      </c>
      <c r="D368" s="39"/>
    </row>
    <row r="369" spans="2:4" x14ac:dyDescent="0.25">
      <c r="B369" s="37" t="s">
        <v>63</v>
      </c>
      <c r="C369" s="38" t="s">
        <v>48</v>
      </c>
      <c r="D369" s="39"/>
    </row>
    <row r="370" spans="2:4" x14ac:dyDescent="0.25">
      <c r="B370" s="37" t="s">
        <v>63</v>
      </c>
      <c r="C370" s="38" t="s">
        <v>49</v>
      </c>
      <c r="D370" s="39"/>
    </row>
    <row r="371" spans="2:4" x14ac:dyDescent="0.25">
      <c r="B371" s="37" t="s">
        <v>63</v>
      </c>
      <c r="C371" s="38" t="s">
        <v>49</v>
      </c>
      <c r="D371" s="39"/>
    </row>
    <row r="372" spans="2:4" x14ac:dyDescent="0.25">
      <c r="B372" s="37" t="s">
        <v>54</v>
      </c>
      <c r="C372" s="38" t="s">
        <v>49</v>
      </c>
      <c r="D372" s="39"/>
    </row>
    <row r="373" spans="2:4" x14ac:dyDescent="0.25">
      <c r="B373" s="37" t="s">
        <v>57</v>
      </c>
      <c r="C373" s="38" t="s">
        <v>49</v>
      </c>
      <c r="D373" s="39"/>
    </row>
    <row r="374" spans="2:4" x14ac:dyDescent="0.25">
      <c r="B374" s="37" t="s">
        <v>60</v>
      </c>
      <c r="C374" s="38" t="s">
        <v>48</v>
      </c>
      <c r="D374" s="39"/>
    </row>
    <row r="375" spans="2:4" x14ac:dyDescent="0.25">
      <c r="B375" s="37" t="s">
        <v>54</v>
      </c>
      <c r="C375" s="38" t="s">
        <v>48</v>
      </c>
      <c r="D375" s="39"/>
    </row>
    <row r="376" spans="2:4" x14ac:dyDescent="0.25">
      <c r="B376" s="37" t="s">
        <v>60</v>
      </c>
      <c r="C376" s="38" t="s">
        <v>48</v>
      </c>
      <c r="D376" s="39"/>
    </row>
    <row r="377" spans="2:4" x14ac:dyDescent="0.25">
      <c r="B377" s="37" t="s">
        <v>62</v>
      </c>
      <c r="C377" s="38" t="s">
        <v>49</v>
      </c>
      <c r="D377" s="39"/>
    </row>
    <row r="378" spans="2:4" x14ac:dyDescent="0.25">
      <c r="B378" s="37" t="s">
        <v>56</v>
      </c>
      <c r="C378" s="38" t="s">
        <v>48</v>
      </c>
      <c r="D378" s="39"/>
    </row>
    <row r="379" spans="2:4" x14ac:dyDescent="0.25">
      <c r="B379" s="37" t="s">
        <v>60</v>
      </c>
      <c r="C379" s="38" t="s">
        <v>48</v>
      </c>
      <c r="D379" s="39"/>
    </row>
    <row r="380" spans="2:4" x14ac:dyDescent="0.25">
      <c r="B380" s="37" t="s">
        <v>54</v>
      </c>
      <c r="C380" s="38" t="s">
        <v>48</v>
      </c>
      <c r="D380" s="39"/>
    </row>
    <row r="381" spans="2:4" x14ac:dyDescent="0.25">
      <c r="B381" s="37" t="s">
        <v>52</v>
      </c>
      <c r="C381" s="38" t="s">
        <v>48</v>
      </c>
      <c r="D381" s="39"/>
    </row>
    <row r="382" spans="2:4" x14ac:dyDescent="0.25">
      <c r="B382" s="37" t="s">
        <v>54</v>
      </c>
      <c r="C382" s="38" t="s">
        <v>49</v>
      </c>
      <c r="D382" s="39"/>
    </row>
    <row r="383" spans="2:4" x14ac:dyDescent="0.25">
      <c r="B383" s="37" t="s">
        <v>63</v>
      </c>
      <c r="C383" s="38" t="s">
        <v>48</v>
      </c>
      <c r="D383" s="39"/>
    </row>
    <row r="384" spans="2:4" x14ac:dyDescent="0.25">
      <c r="B384" s="37" t="s">
        <v>61</v>
      </c>
      <c r="C384" s="38" t="s">
        <v>49</v>
      </c>
      <c r="D384" s="39"/>
    </row>
    <row r="385" spans="2:4" x14ac:dyDescent="0.25">
      <c r="B385" s="37" t="s">
        <v>62</v>
      </c>
      <c r="C385" s="38" t="s">
        <v>48</v>
      </c>
      <c r="D385" s="39"/>
    </row>
    <row r="386" spans="2:4" x14ac:dyDescent="0.25">
      <c r="B386" s="37" t="s">
        <v>63</v>
      </c>
      <c r="C386" s="38" t="s">
        <v>49</v>
      </c>
      <c r="D386" s="39"/>
    </row>
    <row r="387" spans="2:4" x14ac:dyDescent="0.25">
      <c r="B387" s="37" t="s">
        <v>63</v>
      </c>
      <c r="C387" s="38" t="s">
        <v>49</v>
      </c>
      <c r="D387" s="39"/>
    </row>
    <row r="388" spans="2:4" x14ac:dyDescent="0.25">
      <c r="B388" s="37" t="s">
        <v>61</v>
      </c>
      <c r="C388" s="38" t="s">
        <v>49</v>
      </c>
      <c r="D388" s="39"/>
    </row>
    <row r="389" spans="2:4" x14ac:dyDescent="0.25">
      <c r="B389" s="37" t="s">
        <v>63</v>
      </c>
      <c r="C389" s="38" t="s">
        <v>49</v>
      </c>
      <c r="D389" s="39"/>
    </row>
    <row r="390" spans="2:4" x14ac:dyDescent="0.25">
      <c r="B390" s="37" t="s">
        <v>64</v>
      </c>
      <c r="C390" s="38" t="s">
        <v>48</v>
      </c>
      <c r="D390" s="39"/>
    </row>
    <row r="391" spans="2:4" x14ac:dyDescent="0.25">
      <c r="B391" s="37" t="s">
        <v>59</v>
      </c>
      <c r="C391" s="38" t="s">
        <v>48</v>
      </c>
      <c r="D391" s="39"/>
    </row>
    <row r="392" spans="2:4" x14ac:dyDescent="0.25">
      <c r="B392" s="37" t="s">
        <v>57</v>
      </c>
      <c r="C392" s="38" t="s">
        <v>49</v>
      </c>
      <c r="D392" s="39"/>
    </row>
    <row r="393" spans="2:4" x14ac:dyDescent="0.25">
      <c r="B393" s="37" t="s">
        <v>54</v>
      </c>
      <c r="C393" s="38" t="s">
        <v>49</v>
      </c>
      <c r="D393" s="39"/>
    </row>
    <row r="394" spans="2:4" x14ac:dyDescent="0.25">
      <c r="B394" s="37" t="s">
        <v>62</v>
      </c>
      <c r="C394" s="38" t="s">
        <v>49</v>
      </c>
      <c r="D394" s="39"/>
    </row>
    <row r="395" spans="2:4" x14ac:dyDescent="0.25">
      <c r="B395" s="37" t="s">
        <v>56</v>
      </c>
      <c r="C395" s="38" t="s">
        <v>49</v>
      </c>
      <c r="D395" s="39"/>
    </row>
    <row r="396" spans="2:4" x14ac:dyDescent="0.25">
      <c r="B396" s="37" t="s">
        <v>61</v>
      </c>
      <c r="C396" s="38" t="s">
        <v>49</v>
      </c>
      <c r="D396" s="39"/>
    </row>
    <row r="397" spans="2:4" x14ac:dyDescent="0.25">
      <c r="B397" s="37" t="s">
        <v>60</v>
      </c>
      <c r="C397" s="38" t="s">
        <v>49</v>
      </c>
      <c r="D397" s="39"/>
    </row>
    <row r="398" spans="2:4" x14ac:dyDescent="0.25">
      <c r="B398" s="37" t="s">
        <v>52</v>
      </c>
      <c r="C398" s="38" t="s">
        <v>48</v>
      </c>
      <c r="D398" s="41"/>
    </row>
    <row r="399" spans="2:4" x14ac:dyDescent="0.25">
      <c r="B399" s="37" t="s">
        <v>52</v>
      </c>
      <c r="C399" s="38" t="s">
        <v>48</v>
      </c>
      <c r="D399" s="39"/>
    </row>
    <row r="400" spans="2:4" x14ac:dyDescent="0.25">
      <c r="B400" s="37" t="s">
        <v>54</v>
      </c>
      <c r="C400" s="38" t="s">
        <v>49</v>
      </c>
      <c r="D400" s="39"/>
    </row>
    <row r="401" spans="2:4" x14ac:dyDescent="0.25">
      <c r="B401" s="37" t="s">
        <v>56</v>
      </c>
      <c r="C401" s="38" t="s">
        <v>48</v>
      </c>
      <c r="D401" s="39"/>
    </row>
    <row r="402" spans="2:4" x14ac:dyDescent="0.25">
      <c r="B402" s="37" t="s">
        <v>57</v>
      </c>
      <c r="C402" s="38" t="s">
        <v>49</v>
      </c>
      <c r="D402" s="39"/>
    </row>
    <row r="403" spans="2:4" x14ac:dyDescent="0.25">
      <c r="B403" s="37" t="s">
        <v>60</v>
      </c>
      <c r="C403" s="38" t="s">
        <v>49</v>
      </c>
      <c r="D403" s="39"/>
    </row>
    <row r="404" spans="2:4" x14ac:dyDescent="0.25">
      <c r="B404" s="37" t="s">
        <v>56</v>
      </c>
      <c r="C404" s="38" t="s">
        <v>49</v>
      </c>
      <c r="D404" s="39"/>
    </row>
    <row r="405" spans="2:4" x14ac:dyDescent="0.25">
      <c r="B405" s="37" t="s">
        <v>54</v>
      </c>
      <c r="C405" s="38" t="s">
        <v>49</v>
      </c>
      <c r="D405" s="39"/>
    </row>
    <row r="406" spans="2:4" x14ac:dyDescent="0.25">
      <c r="B406" s="37" t="s">
        <v>62</v>
      </c>
      <c r="C406" s="38" t="s">
        <v>48</v>
      </c>
      <c r="D406" s="39"/>
    </row>
    <row r="407" spans="2:4" x14ac:dyDescent="0.25">
      <c r="B407" s="37" t="s">
        <v>56</v>
      </c>
      <c r="C407" s="38" t="s">
        <v>49</v>
      </c>
      <c r="D407" s="39"/>
    </row>
    <row r="408" spans="2:4" x14ac:dyDescent="0.25">
      <c r="B408" s="37" t="s">
        <v>54</v>
      </c>
      <c r="C408" s="38" t="s">
        <v>49</v>
      </c>
      <c r="D408" s="39"/>
    </row>
    <row r="409" spans="2:4" x14ac:dyDescent="0.25">
      <c r="B409" s="37" t="s">
        <v>63</v>
      </c>
      <c r="C409" s="38" t="s">
        <v>49</v>
      </c>
      <c r="D409" s="39"/>
    </row>
    <row r="410" spans="2:4" x14ac:dyDescent="0.25">
      <c r="B410" s="37" t="s">
        <v>57</v>
      </c>
      <c r="C410" s="38" t="s">
        <v>49</v>
      </c>
      <c r="D410" s="39"/>
    </row>
    <row r="411" spans="2:4" x14ac:dyDescent="0.25">
      <c r="B411" s="37" t="s">
        <v>55</v>
      </c>
      <c r="C411" s="38" t="s">
        <v>48</v>
      </c>
      <c r="D411" s="39"/>
    </row>
    <row r="412" spans="2:4" x14ac:dyDescent="0.25">
      <c r="B412" s="37" t="s">
        <v>63</v>
      </c>
      <c r="C412" s="38" t="s">
        <v>48</v>
      </c>
      <c r="D412" s="39"/>
    </row>
    <row r="413" spans="2:4" x14ac:dyDescent="0.25">
      <c r="B413" s="37" t="s">
        <v>57</v>
      </c>
      <c r="C413" s="38" t="s">
        <v>48</v>
      </c>
      <c r="D413" s="39"/>
    </row>
    <row r="414" spans="2:4" x14ac:dyDescent="0.25">
      <c r="B414" s="37" t="s">
        <v>63</v>
      </c>
      <c r="C414" s="38" t="s">
        <v>48</v>
      </c>
      <c r="D414" s="39"/>
    </row>
    <row r="415" spans="2:4" x14ac:dyDescent="0.25">
      <c r="B415" s="37" t="s">
        <v>63</v>
      </c>
      <c r="C415" s="38" t="s">
        <v>48</v>
      </c>
      <c r="D415" s="39"/>
    </row>
    <row r="416" spans="2:4" x14ac:dyDescent="0.25">
      <c r="B416" s="37" t="s">
        <v>60</v>
      </c>
      <c r="C416" s="38" t="s">
        <v>48</v>
      </c>
      <c r="D416" s="39"/>
    </row>
    <row r="417" spans="2:4" x14ac:dyDescent="0.25">
      <c r="B417" s="37" t="s">
        <v>56</v>
      </c>
      <c r="C417" s="38" t="s">
        <v>49</v>
      </c>
      <c r="D417" s="39"/>
    </row>
    <row r="418" spans="2:4" x14ac:dyDescent="0.25">
      <c r="B418" s="37" t="s">
        <v>63</v>
      </c>
      <c r="C418" s="38" t="s">
        <v>48</v>
      </c>
      <c r="D418" s="39"/>
    </row>
    <row r="419" spans="2:4" x14ac:dyDescent="0.25">
      <c r="B419" s="37" t="s">
        <v>60</v>
      </c>
      <c r="C419" s="38" t="s">
        <v>48</v>
      </c>
      <c r="D419" s="39"/>
    </row>
    <row r="420" spans="2:4" x14ac:dyDescent="0.25">
      <c r="B420" s="37" t="s">
        <v>59</v>
      </c>
      <c r="C420" s="38" t="s">
        <v>48</v>
      </c>
      <c r="D420" s="39"/>
    </row>
    <row r="421" spans="2:4" x14ac:dyDescent="0.25">
      <c r="B421" s="37" t="s">
        <v>63</v>
      </c>
      <c r="C421" s="38" t="s">
        <v>48</v>
      </c>
      <c r="D421" s="39"/>
    </row>
    <row r="422" spans="2:4" x14ac:dyDescent="0.25">
      <c r="B422" s="37" t="s">
        <v>63</v>
      </c>
      <c r="C422" s="38" t="s">
        <v>49</v>
      </c>
      <c r="D422" s="39"/>
    </row>
    <row r="423" spans="2:4" x14ac:dyDescent="0.25">
      <c r="B423" s="37" t="s">
        <v>63</v>
      </c>
      <c r="C423" s="38" t="s">
        <v>49</v>
      </c>
      <c r="D423" s="39"/>
    </row>
    <row r="424" spans="2:4" x14ac:dyDescent="0.25">
      <c r="B424" s="37" t="s">
        <v>52</v>
      </c>
      <c r="C424" s="38" t="s">
        <v>48</v>
      </c>
      <c r="D424" s="39"/>
    </row>
    <row r="425" spans="2:4" x14ac:dyDescent="0.25">
      <c r="B425" s="37" t="s">
        <v>63</v>
      </c>
      <c r="C425" s="38" t="s">
        <v>48</v>
      </c>
      <c r="D425" s="39"/>
    </row>
    <row r="426" spans="2:4" x14ac:dyDescent="0.25">
      <c r="B426" s="37" t="s">
        <v>60</v>
      </c>
      <c r="C426" s="38" t="s">
        <v>48</v>
      </c>
      <c r="D426" s="39"/>
    </row>
    <row r="427" spans="2:4" x14ac:dyDescent="0.25">
      <c r="B427" s="37" t="s">
        <v>60</v>
      </c>
      <c r="C427" s="38" t="s">
        <v>48</v>
      </c>
      <c r="D427" s="39"/>
    </row>
    <row r="428" spans="2:4" x14ac:dyDescent="0.25">
      <c r="B428" s="37" t="s">
        <v>51</v>
      </c>
      <c r="C428" s="38" t="s">
        <v>49</v>
      </c>
      <c r="D428" s="39"/>
    </row>
    <row r="429" spans="2:4" x14ac:dyDescent="0.25">
      <c r="B429" s="37" t="s">
        <v>61</v>
      </c>
      <c r="C429" s="38" t="s">
        <v>48</v>
      </c>
      <c r="D429" s="39"/>
    </row>
    <row r="430" spans="2:4" x14ac:dyDescent="0.25">
      <c r="B430" s="37" t="s">
        <v>52</v>
      </c>
      <c r="C430" s="38" t="s">
        <v>49</v>
      </c>
      <c r="D430" s="39"/>
    </row>
    <row r="431" spans="2:4" x14ac:dyDescent="0.25">
      <c r="B431" s="37" t="s">
        <v>62</v>
      </c>
      <c r="C431" s="38" t="s">
        <v>49</v>
      </c>
      <c r="D431" s="39"/>
    </row>
    <row r="432" spans="2:4" x14ac:dyDescent="0.25">
      <c r="B432" s="37" t="s">
        <v>63</v>
      </c>
      <c r="C432" s="38" t="s">
        <v>49</v>
      </c>
      <c r="D432" s="39"/>
    </row>
    <row r="433" spans="2:4" x14ac:dyDescent="0.25">
      <c r="B433" s="37" t="s">
        <v>62</v>
      </c>
      <c r="C433" s="38" t="s">
        <v>48</v>
      </c>
      <c r="D433" s="39"/>
    </row>
    <row r="434" spans="2:4" x14ac:dyDescent="0.25">
      <c r="B434" s="37" t="s">
        <v>57</v>
      </c>
      <c r="C434" s="38" t="s">
        <v>49</v>
      </c>
      <c r="D434" s="39"/>
    </row>
    <row r="435" spans="2:4" x14ac:dyDescent="0.25">
      <c r="B435" s="37" t="s">
        <v>64</v>
      </c>
      <c r="C435" s="38" t="s">
        <v>48</v>
      </c>
      <c r="D435" s="39"/>
    </row>
    <row r="436" spans="2:4" x14ac:dyDescent="0.25">
      <c r="B436" s="37" t="s">
        <v>54</v>
      </c>
      <c r="C436" s="38" t="s">
        <v>49</v>
      </c>
      <c r="D436" s="39"/>
    </row>
    <row r="437" spans="2:4" x14ac:dyDescent="0.25">
      <c r="B437" s="37" t="s">
        <v>60</v>
      </c>
      <c r="C437" s="38" t="s">
        <v>48</v>
      </c>
      <c r="D437" s="39"/>
    </row>
    <row r="438" spans="2:4" x14ac:dyDescent="0.25">
      <c r="B438" s="37" t="s">
        <v>52</v>
      </c>
      <c r="C438" s="38" t="s">
        <v>48</v>
      </c>
      <c r="D438" s="39"/>
    </row>
    <row r="439" spans="2:4" x14ac:dyDescent="0.25">
      <c r="B439" s="37" t="s">
        <v>59</v>
      </c>
      <c r="C439" s="38" t="s">
        <v>49</v>
      </c>
      <c r="D439" s="39"/>
    </row>
    <row r="440" spans="2:4" x14ac:dyDescent="0.25">
      <c r="B440" s="37" t="s">
        <v>52</v>
      </c>
      <c r="C440" s="38" t="s">
        <v>48</v>
      </c>
      <c r="D440" s="39"/>
    </row>
    <row r="441" spans="2:4" x14ac:dyDescent="0.25">
      <c r="B441" s="37" t="s">
        <v>54</v>
      </c>
      <c r="C441" s="38" t="s">
        <v>49</v>
      </c>
      <c r="D441" s="39"/>
    </row>
    <row r="442" spans="2:4" x14ac:dyDescent="0.25">
      <c r="B442" s="37" t="s">
        <v>56</v>
      </c>
      <c r="C442" s="38" t="s">
        <v>48</v>
      </c>
      <c r="D442" s="39"/>
    </row>
    <row r="443" spans="2:4" x14ac:dyDescent="0.25">
      <c r="B443" s="37" t="s">
        <v>63</v>
      </c>
      <c r="C443" s="38" t="s">
        <v>48</v>
      </c>
      <c r="D443" s="39"/>
    </row>
    <row r="444" spans="2:4" x14ac:dyDescent="0.25">
      <c r="B444" s="37" t="s">
        <v>54</v>
      </c>
      <c r="C444" s="38" t="s">
        <v>49</v>
      </c>
      <c r="D444" s="39"/>
    </row>
    <row r="445" spans="2:4" x14ac:dyDescent="0.25">
      <c r="B445" s="37" t="s">
        <v>56</v>
      </c>
      <c r="C445" s="38" t="s">
        <v>48</v>
      </c>
      <c r="D445" s="39"/>
    </row>
    <row r="446" spans="2:4" x14ac:dyDescent="0.25">
      <c r="B446" s="37" t="s">
        <v>51</v>
      </c>
      <c r="C446" s="38" t="s">
        <v>48</v>
      </c>
      <c r="D446" s="39"/>
    </row>
    <row r="447" spans="2:4" x14ac:dyDescent="0.25">
      <c r="B447" s="37" t="s">
        <v>63</v>
      </c>
      <c r="C447" s="38" t="s">
        <v>48</v>
      </c>
      <c r="D447" s="39"/>
    </row>
    <row r="448" spans="2:4" x14ac:dyDescent="0.25">
      <c r="B448" s="37" t="s">
        <v>63</v>
      </c>
      <c r="C448" s="38" t="s">
        <v>48</v>
      </c>
      <c r="D448" s="39"/>
    </row>
    <row r="449" spans="2:4" x14ac:dyDescent="0.25">
      <c r="B449" s="37" t="s">
        <v>63</v>
      </c>
      <c r="C449" s="38" t="s">
        <v>48</v>
      </c>
      <c r="D449" s="39"/>
    </row>
    <row r="450" spans="2:4" x14ac:dyDescent="0.25">
      <c r="B450" s="37" t="s">
        <v>54</v>
      </c>
      <c r="C450" s="38" t="s">
        <v>49</v>
      </c>
      <c r="D450" s="39"/>
    </row>
    <row r="451" spans="2:4" x14ac:dyDescent="0.25">
      <c r="B451" s="37" t="s">
        <v>61</v>
      </c>
      <c r="C451" s="38" t="s">
        <v>48</v>
      </c>
      <c r="D451" s="39"/>
    </row>
    <row r="452" spans="2:4" x14ac:dyDescent="0.25">
      <c r="B452" s="37" t="s">
        <v>62</v>
      </c>
      <c r="C452" s="38" t="s">
        <v>48</v>
      </c>
      <c r="D452" s="39"/>
    </row>
    <row r="453" spans="2:4" x14ac:dyDescent="0.25">
      <c r="B453" s="37" t="s">
        <v>52</v>
      </c>
      <c r="C453" s="38" t="s">
        <v>49</v>
      </c>
      <c r="D453" s="39"/>
    </row>
    <row r="454" spans="2:4" x14ac:dyDescent="0.25">
      <c r="B454" s="37" t="s">
        <v>56</v>
      </c>
      <c r="C454" s="38" t="s">
        <v>48</v>
      </c>
      <c r="D454" s="39"/>
    </row>
    <row r="455" spans="2:4" x14ac:dyDescent="0.25">
      <c r="B455" s="37" t="s">
        <v>60</v>
      </c>
      <c r="C455" s="38" t="s">
        <v>49</v>
      </c>
      <c r="D455" s="39"/>
    </row>
    <row r="456" spans="2:4" x14ac:dyDescent="0.25">
      <c r="B456" s="37" t="s">
        <v>60</v>
      </c>
      <c r="C456" s="38" t="s">
        <v>48</v>
      </c>
      <c r="D456" s="39"/>
    </row>
    <row r="457" spans="2:4" x14ac:dyDescent="0.25">
      <c r="B457" s="37" t="s">
        <v>57</v>
      </c>
      <c r="C457" s="38" t="s">
        <v>48</v>
      </c>
      <c r="D457" s="39"/>
    </row>
    <row r="458" spans="2:4" x14ac:dyDescent="0.25">
      <c r="B458" s="37" t="s">
        <v>61</v>
      </c>
      <c r="C458" s="38" t="s">
        <v>49</v>
      </c>
      <c r="D458" s="39"/>
    </row>
    <row r="459" spans="2:4" x14ac:dyDescent="0.25">
      <c r="B459" s="37" t="s">
        <v>60</v>
      </c>
      <c r="C459" s="38" t="s">
        <v>49</v>
      </c>
      <c r="D459" s="39"/>
    </row>
    <row r="460" spans="2:4" x14ac:dyDescent="0.25">
      <c r="B460" s="37" t="s">
        <v>62</v>
      </c>
      <c r="C460" s="38" t="s">
        <v>49</v>
      </c>
      <c r="D460" s="39"/>
    </row>
    <row r="461" spans="2:4" x14ac:dyDescent="0.25">
      <c r="B461" s="37" t="s">
        <v>60</v>
      </c>
      <c r="C461" s="38" t="s">
        <v>48</v>
      </c>
      <c r="D461" s="39"/>
    </row>
    <row r="462" spans="2:4" x14ac:dyDescent="0.25">
      <c r="B462" s="37" t="s">
        <v>61</v>
      </c>
      <c r="C462" s="38" t="s">
        <v>49</v>
      </c>
      <c r="D462" s="39"/>
    </row>
    <row r="463" spans="2:4" x14ac:dyDescent="0.25">
      <c r="B463" s="37" t="s">
        <v>61</v>
      </c>
      <c r="C463" s="38" t="s">
        <v>48</v>
      </c>
      <c r="D463" s="39"/>
    </row>
    <row r="464" spans="2:4" x14ac:dyDescent="0.25">
      <c r="B464" s="37" t="s">
        <v>61</v>
      </c>
      <c r="C464" s="38" t="s">
        <v>48</v>
      </c>
      <c r="D464" s="39"/>
    </row>
    <row r="465" spans="2:4" x14ac:dyDescent="0.25">
      <c r="B465" s="37" t="s">
        <v>58</v>
      </c>
      <c r="C465" s="38" t="s">
        <v>49</v>
      </c>
      <c r="D465" s="39"/>
    </row>
    <row r="466" spans="2:4" x14ac:dyDescent="0.25">
      <c r="B466" s="37" t="s">
        <v>64</v>
      </c>
      <c r="C466" s="38" t="s">
        <v>48</v>
      </c>
      <c r="D466" s="39"/>
    </row>
    <row r="467" spans="2:4" x14ac:dyDescent="0.25">
      <c r="B467" s="37" t="s">
        <v>63</v>
      </c>
      <c r="C467" s="38" t="s">
        <v>48</v>
      </c>
      <c r="D467" s="39"/>
    </row>
    <row r="468" spans="2:4" x14ac:dyDescent="0.25">
      <c r="B468" s="37" t="s">
        <v>61</v>
      </c>
      <c r="C468" s="38" t="s">
        <v>49</v>
      </c>
      <c r="D468" s="39"/>
    </row>
    <row r="469" spans="2:4" x14ac:dyDescent="0.25">
      <c r="B469" s="37" t="s">
        <v>60</v>
      </c>
      <c r="C469" s="38" t="s">
        <v>49</v>
      </c>
      <c r="D469" s="39"/>
    </row>
    <row r="470" spans="2:4" x14ac:dyDescent="0.25">
      <c r="B470" s="37" t="s">
        <v>54</v>
      </c>
      <c r="C470" s="38" t="s">
        <v>49</v>
      </c>
      <c r="D470" s="39"/>
    </row>
    <row r="471" spans="2:4" x14ac:dyDescent="0.25">
      <c r="B471" s="37" t="s">
        <v>63</v>
      </c>
      <c r="C471" s="38" t="s">
        <v>48</v>
      </c>
      <c r="D471" s="39"/>
    </row>
    <row r="472" spans="2:4" x14ac:dyDescent="0.25">
      <c r="B472" s="37" t="s">
        <v>54</v>
      </c>
      <c r="C472" s="38" t="s">
        <v>49</v>
      </c>
      <c r="D472" s="41"/>
    </row>
    <row r="473" spans="2:4" x14ac:dyDescent="0.25">
      <c r="B473" s="37" t="s">
        <v>62</v>
      </c>
      <c r="C473" s="38" t="s">
        <v>49</v>
      </c>
      <c r="D473" s="39"/>
    </row>
    <row r="474" spans="2:4" x14ac:dyDescent="0.25">
      <c r="B474" s="37" t="s">
        <v>57</v>
      </c>
      <c r="C474" s="38" t="s">
        <v>48</v>
      </c>
      <c r="D474" s="39"/>
    </row>
    <row r="475" spans="2:4" x14ac:dyDescent="0.25">
      <c r="B475" s="37" t="s">
        <v>56</v>
      </c>
      <c r="C475" s="38" t="s">
        <v>48</v>
      </c>
      <c r="D475" s="39"/>
    </row>
    <row r="476" spans="2:4" x14ac:dyDescent="0.25">
      <c r="B476" s="37" t="s">
        <v>63</v>
      </c>
      <c r="C476" s="38" t="s">
        <v>48</v>
      </c>
      <c r="D476" s="39"/>
    </row>
    <row r="477" spans="2:4" x14ac:dyDescent="0.25">
      <c r="B477" s="37" t="s">
        <v>62</v>
      </c>
      <c r="C477" s="38" t="s">
        <v>49</v>
      </c>
      <c r="D477" s="39"/>
    </row>
    <row r="478" spans="2:4" x14ac:dyDescent="0.25">
      <c r="B478" s="37" t="s">
        <v>63</v>
      </c>
      <c r="C478" s="38" t="s">
        <v>48</v>
      </c>
      <c r="D478" s="39"/>
    </row>
    <row r="479" spans="2:4" x14ac:dyDescent="0.25">
      <c r="B479" s="37" t="s">
        <v>51</v>
      </c>
      <c r="C479" s="38" t="s">
        <v>48</v>
      </c>
      <c r="D479" s="39"/>
    </row>
    <row r="480" spans="2:4" x14ac:dyDescent="0.25">
      <c r="B480" s="37" t="s">
        <v>57</v>
      </c>
      <c r="C480" s="38" t="s">
        <v>48</v>
      </c>
      <c r="D480" s="39"/>
    </row>
    <row r="481" spans="2:4" x14ac:dyDescent="0.25">
      <c r="B481" s="37" t="s">
        <v>61</v>
      </c>
      <c r="C481" s="38" t="s">
        <v>48</v>
      </c>
      <c r="D481" s="39"/>
    </row>
    <row r="482" spans="2:4" x14ac:dyDescent="0.25">
      <c r="B482" s="37" t="s">
        <v>63</v>
      </c>
      <c r="C482" s="38" t="s">
        <v>49</v>
      </c>
      <c r="D482" s="39"/>
    </row>
    <row r="483" spans="2:4" x14ac:dyDescent="0.25">
      <c r="B483" s="37" t="s">
        <v>63</v>
      </c>
      <c r="C483" s="38" t="s">
        <v>48</v>
      </c>
      <c r="D483" s="39"/>
    </row>
    <row r="484" spans="2:4" x14ac:dyDescent="0.25">
      <c r="B484" s="37" t="s">
        <v>60</v>
      </c>
      <c r="C484" s="38" t="s">
        <v>49</v>
      </c>
      <c r="D484" s="39"/>
    </row>
    <row r="485" spans="2:4" x14ac:dyDescent="0.25">
      <c r="B485" s="37" t="s">
        <v>57</v>
      </c>
      <c r="C485" s="38" t="s">
        <v>48</v>
      </c>
      <c r="D485" s="39"/>
    </row>
    <row r="486" spans="2:4" x14ac:dyDescent="0.25">
      <c r="B486" s="37" t="s">
        <v>55</v>
      </c>
      <c r="C486" s="38" t="s">
        <v>49</v>
      </c>
      <c r="D486" s="39"/>
    </row>
    <row r="487" spans="2:4" x14ac:dyDescent="0.25">
      <c r="B487" s="37" t="s">
        <v>60</v>
      </c>
      <c r="C487" s="38" t="s">
        <v>49</v>
      </c>
      <c r="D487" s="39"/>
    </row>
    <row r="488" spans="2:4" x14ac:dyDescent="0.25">
      <c r="B488" s="37" t="s">
        <v>60</v>
      </c>
      <c r="C488" s="38" t="s">
        <v>49</v>
      </c>
      <c r="D488" s="39"/>
    </row>
    <row r="489" spans="2:4" x14ac:dyDescent="0.25">
      <c r="B489" s="37" t="s">
        <v>63</v>
      </c>
      <c r="C489" s="38" t="s">
        <v>49</v>
      </c>
      <c r="D489" s="39"/>
    </row>
    <row r="490" spans="2:4" x14ac:dyDescent="0.25">
      <c r="B490" s="37" t="s">
        <v>54</v>
      </c>
      <c r="C490" s="38" t="s">
        <v>49</v>
      </c>
      <c r="D490" s="39"/>
    </row>
    <row r="491" spans="2:4" x14ac:dyDescent="0.25">
      <c r="B491" s="37" t="s">
        <v>60</v>
      </c>
      <c r="C491" s="38" t="s">
        <v>49</v>
      </c>
      <c r="D491" s="39"/>
    </row>
    <row r="492" spans="2:4" x14ac:dyDescent="0.25">
      <c r="B492" s="37" t="s">
        <v>60</v>
      </c>
      <c r="C492" s="38" t="s">
        <v>49</v>
      </c>
      <c r="D492" s="39"/>
    </row>
    <row r="493" spans="2:4" x14ac:dyDescent="0.25">
      <c r="B493" s="37" t="s">
        <v>54</v>
      </c>
      <c r="C493" s="38" t="s">
        <v>49</v>
      </c>
      <c r="D493" s="39"/>
    </row>
    <row r="494" spans="2:4" x14ac:dyDescent="0.25">
      <c r="B494" s="37" t="s">
        <v>62</v>
      </c>
      <c r="C494" s="38" t="s">
        <v>48</v>
      </c>
      <c r="D494" s="39"/>
    </row>
    <row r="495" spans="2:4" x14ac:dyDescent="0.25">
      <c r="B495" s="37" t="s">
        <v>63</v>
      </c>
      <c r="C495" s="38" t="s">
        <v>48</v>
      </c>
      <c r="D495" s="39"/>
    </row>
    <row r="496" spans="2:4" x14ac:dyDescent="0.25">
      <c r="B496" s="37" t="s">
        <v>60</v>
      </c>
      <c r="C496" s="38" t="s">
        <v>49</v>
      </c>
      <c r="D496" s="39"/>
    </row>
    <row r="497" spans="2:4" x14ac:dyDescent="0.25">
      <c r="B497" s="37" t="s">
        <v>62</v>
      </c>
      <c r="C497" s="38" t="s">
        <v>48</v>
      </c>
      <c r="D497" s="39"/>
    </row>
    <row r="498" spans="2:4" x14ac:dyDescent="0.25">
      <c r="B498" s="37" t="s">
        <v>56</v>
      </c>
      <c r="C498" s="38" t="s">
        <v>48</v>
      </c>
      <c r="D498" s="39"/>
    </row>
    <row r="499" spans="2:4" x14ac:dyDescent="0.25">
      <c r="B499" s="37" t="s">
        <v>61</v>
      </c>
      <c r="C499" s="38" t="s">
        <v>49</v>
      </c>
      <c r="D499" s="39"/>
    </row>
    <row r="500" spans="2:4" x14ac:dyDescent="0.25">
      <c r="B500" s="37" t="s">
        <v>54</v>
      </c>
      <c r="C500" s="38" t="s">
        <v>48</v>
      </c>
      <c r="D500" s="39"/>
    </row>
    <row r="501" spans="2:4" x14ac:dyDescent="0.25">
      <c r="B501" s="37" t="s">
        <v>54</v>
      </c>
      <c r="C501" s="38" t="s">
        <v>48</v>
      </c>
      <c r="D501" s="41"/>
    </row>
    <row r="502" spans="2:4" x14ac:dyDescent="0.25">
      <c r="B502" s="37" t="s">
        <v>60</v>
      </c>
      <c r="C502" s="38" t="s">
        <v>48</v>
      </c>
      <c r="D502" s="39"/>
    </row>
    <row r="503" spans="2:4" x14ac:dyDescent="0.25">
      <c r="B503" s="37" t="s">
        <v>63</v>
      </c>
      <c r="C503" s="38" t="s">
        <v>49</v>
      </c>
      <c r="D503" s="39"/>
    </row>
    <row r="504" spans="2:4" x14ac:dyDescent="0.25">
      <c r="B504" s="37" t="s">
        <v>63</v>
      </c>
      <c r="C504" s="38" t="s">
        <v>48</v>
      </c>
      <c r="D504" s="39"/>
    </row>
    <row r="505" spans="2:4" x14ac:dyDescent="0.25">
      <c r="B505" s="37" t="s">
        <v>54</v>
      </c>
      <c r="C505" s="38" t="s">
        <v>48</v>
      </c>
      <c r="D505" s="39"/>
    </row>
    <row r="506" spans="2:4" x14ac:dyDescent="0.25">
      <c r="B506" s="42" t="s">
        <v>53</v>
      </c>
      <c r="C506" s="28" t="s">
        <v>49</v>
      </c>
      <c r="D506" s="43"/>
    </row>
  </sheetData>
  <sortState ref="K4:M17">
    <sortCondition ref="K4:K17"/>
  </sortState>
  <mergeCells count="2">
    <mergeCell ref="K1:M1"/>
    <mergeCell ref="L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C20"/>
  <sheetViews>
    <sheetView showGridLines="0" workbookViewId="0">
      <selection activeCell="K10" sqref="K10"/>
    </sheetView>
  </sheetViews>
  <sheetFormatPr defaultRowHeight="15" x14ac:dyDescent="0.25"/>
  <cols>
    <col min="1" max="1" width="12.28515625" bestFit="1" customWidth="1"/>
  </cols>
  <sheetData>
    <row r="2" spans="1:3" x14ac:dyDescent="0.25">
      <c r="B2" s="61" t="s">
        <v>77</v>
      </c>
      <c r="C2" s="62"/>
    </row>
    <row r="3" spans="1:3" x14ac:dyDescent="0.25">
      <c r="A3" s="50" t="s">
        <v>65</v>
      </c>
      <c r="B3" s="51" t="s">
        <v>48</v>
      </c>
      <c r="C3" s="51" t="s">
        <v>49</v>
      </c>
    </row>
    <row r="4" spans="1:3" x14ac:dyDescent="0.25">
      <c r="A4" s="11" t="s">
        <v>57</v>
      </c>
      <c r="B4" s="52">
        <v>0</v>
      </c>
      <c r="C4" s="52">
        <v>0</v>
      </c>
    </row>
    <row r="5" spans="1:3" x14ac:dyDescent="0.25">
      <c r="A5" s="11" t="s">
        <v>56</v>
      </c>
      <c r="B5" s="52">
        <v>0</v>
      </c>
      <c r="C5" s="52">
        <v>0</v>
      </c>
    </row>
    <row r="6" spans="1:3" x14ac:dyDescent="0.25">
      <c r="A6" s="11" t="s">
        <v>53</v>
      </c>
      <c r="B6" s="52">
        <v>0</v>
      </c>
      <c r="C6" s="52">
        <v>0</v>
      </c>
    </row>
    <row r="7" spans="1:3" x14ac:dyDescent="0.25">
      <c r="A7" s="11" t="s">
        <v>62</v>
      </c>
      <c r="B7" s="52">
        <v>0</v>
      </c>
      <c r="C7" s="52">
        <v>0</v>
      </c>
    </row>
    <row r="8" spans="1:3" x14ac:dyDescent="0.25">
      <c r="A8" s="11" t="s">
        <v>64</v>
      </c>
      <c r="B8" s="52">
        <v>0</v>
      </c>
      <c r="C8" s="52">
        <v>0</v>
      </c>
    </row>
    <row r="9" spans="1:3" x14ac:dyDescent="0.25">
      <c r="A9" s="11" t="s">
        <v>58</v>
      </c>
      <c r="B9" s="52">
        <v>0</v>
      </c>
      <c r="C9" s="52">
        <v>0</v>
      </c>
    </row>
    <row r="10" spans="1:3" x14ac:dyDescent="0.25">
      <c r="A10" s="11" t="s">
        <v>54</v>
      </c>
      <c r="B10" s="52">
        <v>0</v>
      </c>
      <c r="C10" s="52">
        <v>0</v>
      </c>
    </row>
    <row r="11" spans="1:3" x14ac:dyDescent="0.25">
      <c r="A11" s="11" t="s">
        <v>63</v>
      </c>
      <c r="B11" s="52">
        <v>0</v>
      </c>
      <c r="C11" s="52">
        <v>0</v>
      </c>
    </row>
    <row r="12" spans="1:3" x14ac:dyDescent="0.25">
      <c r="A12" s="11" t="s">
        <v>60</v>
      </c>
      <c r="B12" s="52">
        <v>0</v>
      </c>
      <c r="C12" s="52">
        <v>0</v>
      </c>
    </row>
    <row r="13" spans="1:3" x14ac:dyDescent="0.25">
      <c r="A13" s="11" t="s">
        <v>51</v>
      </c>
      <c r="B13" s="52">
        <v>0</v>
      </c>
      <c r="C13" s="52">
        <v>0</v>
      </c>
    </row>
    <row r="14" spans="1:3" x14ac:dyDescent="0.25">
      <c r="A14" s="11" t="s">
        <v>59</v>
      </c>
      <c r="B14" s="52">
        <v>0</v>
      </c>
      <c r="C14" s="52">
        <v>0</v>
      </c>
    </row>
    <row r="15" spans="1:3" x14ac:dyDescent="0.25">
      <c r="A15" s="11" t="s">
        <v>61</v>
      </c>
      <c r="B15" s="52">
        <v>0</v>
      </c>
      <c r="C15" s="52">
        <v>0</v>
      </c>
    </row>
    <row r="16" spans="1:3" x14ac:dyDescent="0.25">
      <c r="A16" s="11" t="s">
        <v>52</v>
      </c>
      <c r="B16" s="52">
        <v>0</v>
      </c>
      <c r="C16" s="52">
        <v>0</v>
      </c>
    </row>
    <row r="17" spans="1:3" x14ac:dyDescent="0.25">
      <c r="A17" s="11" t="s">
        <v>55</v>
      </c>
      <c r="B17" s="52">
        <v>0</v>
      </c>
      <c r="C17" s="52">
        <v>0</v>
      </c>
    </row>
    <row r="19" spans="1:3" x14ac:dyDescent="0.25">
      <c r="A19" t="s">
        <v>78</v>
      </c>
      <c r="C19" s="53"/>
    </row>
    <row r="20" spans="1:3" x14ac:dyDescent="0.25">
      <c r="B20" s="59"/>
      <c r="C20" s="60"/>
    </row>
  </sheetData>
  <mergeCells count="2">
    <mergeCell ref="B20:C20"/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>
                <anchor moveWithCells="1" sizeWithCells="1">
                  <from>
                    <xdr:col>3</xdr:col>
                    <xdr:colOff>200025</xdr:colOff>
                    <xdr:row>16</xdr:row>
                    <xdr:rowOff>133350</xdr:rowOff>
                  </from>
                  <to>
                    <xdr:col>5</xdr:col>
                    <xdr:colOff>523875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Logo</vt:lpstr>
      <vt:lpstr>Summary</vt:lpstr>
      <vt:lpstr>Region1</vt:lpstr>
      <vt:lpstr>Region2</vt:lpstr>
      <vt:lpstr>Region3</vt:lpstr>
      <vt:lpstr>Region4</vt:lpstr>
      <vt:lpstr>Region5</vt:lpstr>
      <vt:lpstr>Region6</vt:lpstr>
      <vt:lpstr>Region7</vt:lpstr>
      <vt:lpstr>Region8</vt:lpstr>
      <vt:lpstr>Region9</vt:lpstr>
      <vt:lpstr>Region10</vt:lpstr>
      <vt:lpstr>Region11</vt:lpstr>
      <vt:lpstr>Region12</vt:lpstr>
      <vt:lpstr>Region13</vt:lpstr>
      <vt:lpstr>Region14</vt:lpstr>
      <vt:lpstr>Region15</vt:lpstr>
      <vt:lpstr>Region16</vt:lpstr>
      <vt:lpstr>Region17</vt:lpstr>
      <vt:lpstr>Region18</vt:lpstr>
      <vt:lpstr>Region19</vt:lpstr>
      <vt:lpstr>Region20</vt:lpstr>
      <vt:lpstr>Distibution</vt:lpstr>
      <vt:lpstr>Warranty Sales - Function</vt:lpstr>
      <vt:lpstr>Checkout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Actuwaiers</dc:creator>
  <cp:lastModifiedBy>Roger</cp:lastModifiedBy>
  <dcterms:created xsi:type="dcterms:W3CDTF">2013-02-23T06:28:21Z</dcterms:created>
  <dcterms:modified xsi:type="dcterms:W3CDTF">2014-02-01T21:50:51Z</dcterms:modified>
</cp:coreProperties>
</file>