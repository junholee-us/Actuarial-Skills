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209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junlee/Documents/Actuary/Skills/Technical Skills Course (TIA)/E. Excel VBA for Actuaries/Project 1/"/>
    </mc:Choice>
  </mc:AlternateContent>
  <xr:revisionPtr revIDLastSave="0" documentId="13_ncr:1_{CAECD466-DD85-F84C-A474-B797C4A99A02}" xr6:coauthVersionLast="36" xr6:coauthVersionMax="36" xr10:uidLastSave="{00000000-0000-0000-0000-000000000000}"/>
  <bookViews>
    <workbookView xWindow="20" yWindow="460" windowWidth="26960" windowHeight="18080" firstSheet="16" activeTab="24" xr2:uid="{00000000-000D-0000-FFFF-FFFF00000000}"/>
  </bookViews>
  <sheets>
    <sheet name="Logo" sheetId="34" r:id="rId1"/>
    <sheet name="Summary" sheetId="14" r:id="rId2"/>
    <sheet name="Region1" sheetId="1" r:id="rId3"/>
    <sheet name="Region2" sheetId="2" r:id="rId4"/>
    <sheet name="Region3" sheetId="3" r:id="rId5"/>
    <sheet name="Region4" sheetId="13" r:id="rId6"/>
    <sheet name="Region5" sheetId="15" r:id="rId7"/>
    <sheet name="Region6" sheetId="16" r:id="rId8"/>
    <sheet name="Region7" sheetId="17" r:id="rId9"/>
    <sheet name="Region8" sheetId="18" r:id="rId10"/>
    <sheet name="Region9" sheetId="19" r:id="rId11"/>
    <sheet name="Region10" sheetId="20" r:id="rId12"/>
    <sheet name="Region11" sheetId="21" r:id="rId13"/>
    <sheet name="Region12" sheetId="22" r:id="rId14"/>
    <sheet name="Region13" sheetId="23" r:id="rId15"/>
    <sheet name="Region14" sheetId="24" r:id="rId16"/>
    <sheet name="Region15" sheetId="25" r:id="rId17"/>
    <sheet name="Region16" sheetId="26" r:id="rId18"/>
    <sheet name="Region17" sheetId="27" r:id="rId19"/>
    <sheet name="Region18" sheetId="28" r:id="rId20"/>
    <sheet name="Region19" sheetId="29" r:id="rId21"/>
    <sheet name="Region20" sheetId="30" r:id="rId22"/>
    <sheet name="Distibution" sheetId="31" r:id="rId23"/>
    <sheet name="Warranty Sales - Function" sheetId="32" r:id="rId24"/>
    <sheet name="Checkout" sheetId="33" r:id="rId25"/>
  </sheets>
  <functionGroups builtInGroupCount="19"/>
  <definedNames>
    <definedName name="_xlchart.v1.0" hidden="1">Distibution!$I$103:$BF$103</definedName>
    <definedName name="_xlchart.v1.1" hidden="1">Distibution!$I$103:$BF$103</definedName>
  </definedNames>
  <calcPr calcId="181029"/>
</workbook>
</file>

<file path=xl/calcChain.xml><?xml version="1.0" encoding="utf-8"?>
<calcChain xmlns="http://schemas.openxmlformats.org/spreadsheetml/2006/main">
  <c r="I109" i="31" l="1"/>
  <c r="I108" i="31"/>
  <c r="I107" i="31"/>
  <c r="I106" i="31"/>
  <c r="D8" i="32"/>
  <c r="D12" i="32"/>
  <c r="D16" i="32"/>
  <c r="D20" i="32"/>
  <c r="D24" i="32"/>
  <c r="D28" i="32"/>
  <c r="D32" i="32"/>
  <c r="D36" i="32"/>
  <c r="D40" i="32"/>
  <c r="D44" i="32"/>
  <c r="D48" i="32"/>
  <c r="D52" i="32"/>
  <c r="D56" i="32"/>
  <c r="D60" i="32"/>
  <c r="D64" i="32"/>
  <c r="D68" i="32"/>
  <c r="D72" i="32"/>
  <c r="D76" i="32"/>
  <c r="D80" i="32"/>
  <c r="D84" i="32"/>
  <c r="D88" i="32"/>
  <c r="D92" i="32"/>
  <c r="D96" i="32"/>
  <c r="D100" i="32"/>
  <c r="D104" i="32"/>
  <c r="D108" i="32"/>
  <c r="D112" i="32"/>
  <c r="D116" i="32"/>
  <c r="D120" i="32"/>
  <c r="D124" i="32"/>
  <c r="D128" i="32"/>
  <c r="D132" i="32"/>
  <c r="D136" i="32"/>
  <c r="D140" i="32"/>
  <c r="D144" i="32"/>
  <c r="D148" i="32"/>
  <c r="D152" i="32"/>
  <c r="D156" i="32"/>
  <c r="D160" i="32"/>
  <c r="D164" i="32"/>
  <c r="D168" i="32"/>
  <c r="D172" i="32"/>
  <c r="D176" i="32"/>
  <c r="D180" i="32"/>
  <c r="D184" i="32"/>
  <c r="D188" i="32"/>
  <c r="D192" i="32"/>
  <c r="D196" i="32"/>
  <c r="D200" i="32"/>
  <c r="D204" i="32"/>
  <c r="D208" i="32"/>
  <c r="D212" i="32"/>
  <c r="D216" i="32"/>
  <c r="D220" i="32"/>
  <c r="D224" i="32"/>
  <c r="D228" i="32"/>
  <c r="D232" i="32"/>
  <c r="D236" i="32"/>
  <c r="D240" i="32"/>
  <c r="D244" i="32"/>
  <c r="D248" i="32"/>
  <c r="D252" i="32"/>
  <c r="D256" i="32"/>
  <c r="D260" i="32"/>
  <c r="D264" i="32"/>
  <c r="D268" i="32"/>
  <c r="D272" i="32"/>
  <c r="D276" i="32"/>
  <c r="D280" i="32"/>
  <c r="D284" i="32"/>
  <c r="D288" i="32"/>
  <c r="D292" i="32"/>
  <c r="D296" i="32"/>
  <c r="D300" i="32"/>
  <c r="D304" i="32"/>
  <c r="D308" i="32"/>
  <c r="D312" i="32"/>
  <c r="D316" i="32"/>
  <c r="D320" i="32"/>
  <c r="D324" i="32"/>
  <c r="D328" i="32"/>
  <c r="D332" i="32"/>
  <c r="D336" i="32"/>
  <c r="D340" i="32"/>
  <c r="D344" i="32"/>
  <c r="D348" i="32"/>
  <c r="D352" i="32"/>
  <c r="D356" i="32"/>
  <c r="D360" i="32"/>
  <c r="D364" i="32"/>
  <c r="D368" i="32"/>
  <c r="D372" i="32"/>
  <c r="D376" i="32"/>
  <c r="D380" i="32"/>
  <c r="D384" i="32"/>
  <c r="D388" i="32"/>
  <c r="D392" i="32"/>
  <c r="D396" i="32"/>
  <c r="D400" i="32"/>
  <c r="D404" i="32"/>
  <c r="D408" i="32"/>
  <c r="D412" i="32"/>
  <c r="D416" i="32"/>
  <c r="D420" i="32"/>
  <c r="D424" i="32"/>
  <c r="D428" i="32"/>
  <c r="D432" i="32"/>
  <c r="D436" i="32"/>
  <c r="D440" i="32"/>
  <c r="D444" i="32"/>
  <c r="D448" i="32"/>
  <c r="D452" i="32"/>
  <c r="D456" i="32"/>
  <c r="D460" i="32"/>
  <c r="D464" i="32"/>
  <c r="D468" i="32"/>
  <c r="D472" i="32"/>
  <c r="D476" i="32"/>
  <c r="D480" i="32"/>
  <c r="D484" i="32"/>
  <c r="D488" i="32"/>
  <c r="D492" i="32"/>
  <c r="D496" i="32"/>
  <c r="D500" i="32"/>
  <c r="D504" i="32"/>
  <c r="D397" i="32"/>
  <c r="D401" i="32"/>
  <c r="D9" i="32"/>
  <c r="D13" i="32"/>
  <c r="D17" i="32"/>
  <c r="D21" i="32"/>
  <c r="D25" i="32"/>
  <c r="D29" i="32"/>
  <c r="D33" i="32"/>
  <c r="D37" i="32"/>
  <c r="D41" i="32"/>
  <c r="D45" i="32"/>
  <c r="D49" i="32"/>
  <c r="D53" i="32"/>
  <c r="D57" i="32"/>
  <c r="D61" i="32"/>
  <c r="D65" i="32"/>
  <c r="D69" i="32"/>
  <c r="D73" i="32"/>
  <c r="D77" i="32"/>
  <c r="D81" i="32"/>
  <c r="D85" i="32"/>
  <c r="D89" i="32"/>
  <c r="D93" i="32"/>
  <c r="D97" i="32"/>
  <c r="D101" i="32"/>
  <c r="D105" i="32"/>
  <c r="D109" i="32"/>
  <c r="D113" i="32"/>
  <c r="D117" i="32"/>
  <c r="D121" i="32"/>
  <c r="D125" i="32"/>
  <c r="D129" i="32"/>
  <c r="D133" i="32"/>
  <c r="D137" i="32"/>
  <c r="D141" i="32"/>
  <c r="D145" i="32"/>
  <c r="D149" i="32"/>
  <c r="D153" i="32"/>
  <c r="D157" i="32"/>
  <c r="D161" i="32"/>
  <c r="D165" i="32"/>
  <c r="D169" i="32"/>
  <c r="D173" i="32"/>
  <c r="D177" i="32"/>
  <c r="D181" i="32"/>
  <c r="D185" i="32"/>
  <c r="D189" i="32"/>
  <c r="D193" i="32"/>
  <c r="D197" i="32"/>
  <c r="D201" i="32"/>
  <c r="D205" i="32"/>
  <c r="D209" i="32"/>
  <c r="D213" i="32"/>
  <c r="D217" i="32"/>
  <c r="D221" i="32"/>
  <c r="D225" i="32"/>
  <c r="D229" i="32"/>
  <c r="D233" i="32"/>
  <c r="D237" i="32"/>
  <c r="D241" i="32"/>
  <c r="D245" i="32"/>
  <c r="D249" i="32"/>
  <c r="D253" i="32"/>
  <c r="D257" i="32"/>
  <c r="D261" i="32"/>
  <c r="D265" i="32"/>
  <c r="D269" i="32"/>
  <c r="D273" i="32"/>
  <c r="D277" i="32"/>
  <c r="D281" i="32"/>
  <c r="D285" i="32"/>
  <c r="D289" i="32"/>
  <c r="D293" i="32"/>
  <c r="D297" i="32"/>
  <c r="D301" i="32"/>
  <c r="D305" i="32"/>
  <c r="D309" i="32"/>
  <c r="D313" i="32"/>
  <c r="D317" i="32"/>
  <c r="D321" i="32"/>
  <c r="D325" i="32"/>
  <c r="D329" i="32"/>
  <c r="D333" i="32"/>
  <c r="D337" i="32"/>
  <c r="D341" i="32"/>
  <c r="D345" i="32"/>
  <c r="D349" i="32"/>
  <c r="D353" i="32"/>
  <c r="D357" i="32"/>
  <c r="D361" i="32"/>
  <c r="D365" i="32"/>
  <c r="D369" i="32"/>
  <c r="D373" i="32"/>
  <c r="D377" i="32"/>
  <c r="D381" i="32"/>
  <c r="D385" i="32"/>
  <c r="D389" i="32"/>
  <c r="D393" i="32"/>
  <c r="D10" i="32"/>
  <c r="D14" i="32"/>
  <c r="D18" i="32"/>
  <c r="D22" i="32"/>
  <c r="D26" i="32"/>
  <c r="D30" i="32"/>
  <c r="D34" i="32"/>
  <c r="D38" i="32"/>
  <c r="D42" i="32"/>
  <c r="D46" i="32"/>
  <c r="D50" i="32"/>
  <c r="D54" i="32"/>
  <c r="D58" i="32"/>
  <c r="D62" i="32"/>
  <c r="D66" i="32"/>
  <c r="D70" i="32"/>
  <c r="D74" i="32"/>
  <c r="D78" i="32"/>
  <c r="D82" i="32"/>
  <c r="D86" i="32"/>
  <c r="D90" i="32"/>
  <c r="D94" i="32"/>
  <c r="D98" i="32"/>
  <c r="D102" i="32"/>
  <c r="D106" i="32"/>
  <c r="D110" i="32"/>
  <c r="D114" i="32"/>
  <c r="D118" i="32"/>
  <c r="D122" i="32"/>
  <c r="D126" i="32"/>
  <c r="D130" i="32"/>
  <c r="D134" i="32"/>
  <c r="D138" i="32"/>
  <c r="D142" i="32"/>
  <c r="D146" i="32"/>
  <c r="D150" i="32"/>
  <c r="D154" i="32"/>
  <c r="D158" i="32"/>
  <c r="D162" i="32"/>
  <c r="D166" i="32"/>
  <c r="D170" i="32"/>
  <c r="D174" i="32"/>
  <c r="D178" i="32"/>
  <c r="D182" i="32"/>
  <c r="D186" i="32"/>
  <c r="D190" i="32"/>
  <c r="D194" i="32"/>
  <c r="D198" i="32"/>
  <c r="D202" i="32"/>
  <c r="D206" i="32"/>
  <c r="D210" i="32"/>
  <c r="D214" i="32"/>
  <c r="D218" i="32"/>
  <c r="D222" i="32"/>
  <c r="D226" i="32"/>
  <c r="D230" i="32"/>
  <c r="D234" i="32"/>
  <c r="D238" i="32"/>
  <c r="D242" i="32"/>
  <c r="D246" i="32"/>
  <c r="D250" i="32"/>
  <c r="D254" i="32"/>
  <c r="D258" i="32"/>
  <c r="D262" i="32"/>
  <c r="D266" i="32"/>
  <c r="D270" i="32"/>
  <c r="D274" i="32"/>
  <c r="D278" i="32"/>
  <c r="D282" i="32"/>
  <c r="D286" i="32"/>
  <c r="D290" i="32"/>
  <c r="D294" i="32"/>
  <c r="D298" i="32"/>
  <c r="D302" i="32"/>
  <c r="D306" i="32"/>
  <c r="D11" i="32"/>
  <c r="D27" i="32"/>
  <c r="D43" i="32"/>
  <c r="D59" i="32"/>
  <c r="D75" i="32"/>
  <c r="D91" i="32"/>
  <c r="D107" i="32"/>
  <c r="D123" i="32"/>
  <c r="D139" i="32"/>
  <c r="D155" i="32"/>
  <c r="D171" i="32"/>
  <c r="D187" i="32"/>
  <c r="D203" i="32"/>
  <c r="D219" i="32"/>
  <c r="D235" i="32"/>
  <c r="D251" i="32"/>
  <c r="D267" i="32"/>
  <c r="D283" i="32"/>
  <c r="D299" i="32"/>
  <c r="D311" i="32"/>
  <c r="D319" i="32"/>
  <c r="D327" i="32"/>
  <c r="D335" i="32"/>
  <c r="D343" i="32"/>
  <c r="D351" i="32"/>
  <c r="D359" i="32"/>
  <c r="D367" i="32"/>
  <c r="D375" i="32"/>
  <c r="D383" i="32"/>
  <c r="D391" i="32"/>
  <c r="D399" i="32"/>
  <c r="D406" i="32"/>
  <c r="D411" i="32"/>
  <c r="D417" i="32"/>
  <c r="D422" i="32"/>
  <c r="D427" i="32"/>
  <c r="D433" i="32"/>
  <c r="D438" i="32"/>
  <c r="D443" i="32"/>
  <c r="D449" i="32"/>
  <c r="D454" i="32"/>
  <c r="D459" i="32"/>
  <c r="D465" i="32"/>
  <c r="D470" i="32"/>
  <c r="D475" i="32"/>
  <c r="D481" i="32"/>
  <c r="D486" i="32"/>
  <c r="D491" i="32"/>
  <c r="D497" i="32"/>
  <c r="D502" i="32"/>
  <c r="D457" i="32"/>
  <c r="D467" i="32"/>
  <c r="D483" i="32"/>
  <c r="D489" i="32"/>
  <c r="D505" i="32"/>
  <c r="D23" i="32"/>
  <c r="D103" i="32"/>
  <c r="D119" i="32"/>
  <c r="D167" i="32"/>
  <c r="D215" i="32"/>
  <c r="D231" i="32"/>
  <c r="D279" i="32"/>
  <c r="D295" i="32"/>
  <c r="D326" i="32"/>
  <c r="D334" i="32"/>
  <c r="D358" i="32"/>
  <c r="D374" i="32"/>
  <c r="D390" i="32"/>
  <c r="D405" i="32"/>
  <c r="D415" i="32"/>
  <c r="D431" i="32"/>
  <c r="D447" i="32"/>
  <c r="D453" i="32"/>
  <c r="D469" i="32"/>
  <c r="D474" i="32"/>
  <c r="D490" i="32"/>
  <c r="D495" i="32"/>
  <c r="D15" i="32"/>
  <c r="D31" i="32"/>
  <c r="D47" i="32"/>
  <c r="D63" i="32"/>
  <c r="D79" i="32"/>
  <c r="D95" i="32"/>
  <c r="D111" i="32"/>
  <c r="D127" i="32"/>
  <c r="D143" i="32"/>
  <c r="D159" i="32"/>
  <c r="D175" i="32"/>
  <c r="D191" i="32"/>
  <c r="D207" i="32"/>
  <c r="D223" i="32"/>
  <c r="D239" i="32"/>
  <c r="D255" i="32"/>
  <c r="D271" i="32"/>
  <c r="D287" i="32"/>
  <c r="D303" i="32"/>
  <c r="D314" i="32"/>
  <c r="D322" i="32"/>
  <c r="D330" i="32"/>
  <c r="D338" i="32"/>
  <c r="D346" i="32"/>
  <c r="D354" i="32"/>
  <c r="D362" i="32"/>
  <c r="D370" i="32"/>
  <c r="D378" i="32"/>
  <c r="D386" i="32"/>
  <c r="D394" i="32"/>
  <c r="D402" i="32"/>
  <c r="D407" i="32"/>
  <c r="D413" i="32"/>
  <c r="D418" i="32"/>
  <c r="D423" i="32"/>
  <c r="D429" i="32"/>
  <c r="D434" i="32"/>
  <c r="D439" i="32"/>
  <c r="D445" i="32"/>
  <c r="D450" i="32"/>
  <c r="D455" i="32"/>
  <c r="D461" i="32"/>
  <c r="D466" i="32"/>
  <c r="D471" i="32"/>
  <c r="D477" i="32"/>
  <c r="D482" i="32"/>
  <c r="D487" i="32"/>
  <c r="D493" i="32"/>
  <c r="D498" i="32"/>
  <c r="D503" i="32"/>
  <c r="D435" i="32"/>
  <c r="D451" i="32"/>
  <c r="D473" i="32"/>
  <c r="D494" i="32"/>
  <c r="D55" i="32"/>
  <c r="D71" i="32"/>
  <c r="D135" i="32"/>
  <c r="D199" i="32"/>
  <c r="D263" i="32"/>
  <c r="D318" i="32"/>
  <c r="D350" i="32"/>
  <c r="D382" i="32"/>
  <c r="D410" i="32"/>
  <c r="D426" i="32"/>
  <c r="D442" i="32"/>
  <c r="D463" i="32"/>
  <c r="D485" i="32"/>
  <c r="D501" i="32"/>
  <c r="D19" i="32"/>
  <c r="D35" i="32"/>
  <c r="D51" i="32"/>
  <c r="D67" i="32"/>
  <c r="D83" i="32"/>
  <c r="D99" i="32"/>
  <c r="D115" i="32"/>
  <c r="D131" i="32"/>
  <c r="D147" i="32"/>
  <c r="D163" i="32"/>
  <c r="D179" i="32"/>
  <c r="D195" i="32"/>
  <c r="D211" i="32"/>
  <c r="D227" i="32"/>
  <c r="D243" i="32"/>
  <c r="D259" i="32"/>
  <c r="D275" i="32"/>
  <c r="D291" i="32"/>
  <c r="D307" i="32"/>
  <c r="D315" i="32"/>
  <c r="D323" i="32"/>
  <c r="D331" i="32"/>
  <c r="D339" i="32"/>
  <c r="D347" i="32"/>
  <c r="D355" i="32"/>
  <c r="D363" i="32"/>
  <c r="D371" i="32"/>
  <c r="D379" i="32"/>
  <c r="D387" i="32"/>
  <c r="D395" i="32"/>
  <c r="D403" i="32"/>
  <c r="D409" i="32"/>
  <c r="D414" i="32"/>
  <c r="D419" i="32"/>
  <c r="D425" i="32"/>
  <c r="D430" i="32"/>
  <c r="D441" i="32"/>
  <c r="D446" i="32"/>
  <c r="D462" i="32"/>
  <c r="D478" i="32"/>
  <c r="D499" i="32"/>
  <c r="D39" i="32"/>
  <c r="D87" i="32"/>
  <c r="D151" i="32"/>
  <c r="D183" i="32"/>
  <c r="D247" i="32"/>
  <c r="D310" i="32"/>
  <c r="D342" i="32"/>
  <c r="D366" i="32"/>
  <c r="D398" i="32"/>
  <c r="D421" i="32"/>
  <c r="D437" i="32"/>
  <c r="D458" i="32"/>
  <c r="D479" i="32"/>
  <c r="D506" i="32"/>
  <c r="D7" i="32"/>
  <c r="E7" i="32" l="1"/>
  <c r="BF103" i="31" l="1"/>
  <c r="BE103" i="31"/>
  <c r="BD103" i="31"/>
  <c r="BC103" i="31"/>
  <c r="BB103" i="31"/>
  <c r="BA103" i="31"/>
  <c r="AZ103" i="31"/>
  <c r="AY103" i="31"/>
  <c r="AX103" i="31"/>
  <c r="AW103" i="31"/>
  <c r="AV103" i="31"/>
  <c r="AU103" i="31"/>
  <c r="AT103" i="31"/>
  <c r="AS103" i="31"/>
  <c r="AR103" i="31"/>
  <c r="AQ103" i="31"/>
  <c r="AP103" i="31"/>
  <c r="AO103" i="31"/>
  <c r="AN103" i="31"/>
  <c r="AM103" i="31"/>
  <c r="AL103" i="31"/>
  <c r="AK103" i="31"/>
  <c r="AJ103" i="31"/>
  <c r="AI103" i="31"/>
  <c r="AH103" i="31"/>
  <c r="AG103" i="31"/>
  <c r="AF103" i="31"/>
  <c r="AE103" i="31"/>
  <c r="AD103" i="31"/>
  <c r="AC103" i="31"/>
  <c r="AB103" i="31"/>
  <c r="AA103" i="31"/>
  <c r="Z103" i="31"/>
  <c r="Y103" i="31"/>
  <c r="X103" i="31"/>
  <c r="W103" i="31"/>
  <c r="V103" i="31"/>
  <c r="U103" i="31"/>
  <c r="T103" i="31"/>
  <c r="S103" i="31"/>
  <c r="R103" i="31"/>
  <c r="Q103" i="31"/>
  <c r="P103" i="31"/>
  <c r="O103" i="31"/>
  <c r="N103" i="31"/>
  <c r="M103" i="31"/>
  <c r="L103" i="31"/>
  <c r="K103" i="31"/>
  <c r="J103" i="31"/>
  <c r="I103" i="31"/>
  <c r="H7" i="31"/>
  <c r="H8" i="31" s="1"/>
  <c r="H9" i="31" s="1"/>
  <c r="H10" i="31" s="1"/>
  <c r="H11" i="31" s="1"/>
  <c r="H12" i="31" s="1"/>
  <c r="H13" i="31" s="1"/>
  <c r="H14" i="31" s="1"/>
  <c r="H15" i="31" s="1"/>
  <c r="H16" i="31" s="1"/>
  <c r="H17" i="31" s="1"/>
  <c r="H18" i="31" s="1"/>
  <c r="H19" i="31" s="1"/>
  <c r="H20" i="31" s="1"/>
  <c r="H21" i="31" s="1"/>
  <c r="H22" i="31" s="1"/>
  <c r="H23" i="31" s="1"/>
  <c r="H24" i="31" s="1"/>
  <c r="H25" i="31" s="1"/>
  <c r="H26" i="31" s="1"/>
  <c r="H27" i="31" s="1"/>
  <c r="H28" i="31" s="1"/>
  <c r="H29" i="31" s="1"/>
  <c r="H30" i="31" s="1"/>
  <c r="H31" i="31" s="1"/>
  <c r="H32" i="31" s="1"/>
  <c r="H33" i="31" s="1"/>
  <c r="H34" i="31" s="1"/>
  <c r="H35" i="31" s="1"/>
  <c r="H36" i="31" s="1"/>
  <c r="H37" i="31" s="1"/>
  <c r="H38" i="31" s="1"/>
  <c r="H39" i="31" s="1"/>
  <c r="H40" i="31" s="1"/>
  <c r="H41" i="31" s="1"/>
  <c r="H42" i="31" s="1"/>
  <c r="H43" i="31" s="1"/>
  <c r="H44" i="31" s="1"/>
  <c r="H45" i="31" s="1"/>
  <c r="H46" i="31" s="1"/>
  <c r="H47" i="31" s="1"/>
  <c r="H48" i="31" s="1"/>
  <c r="H49" i="31" s="1"/>
  <c r="H50" i="31" s="1"/>
  <c r="H51" i="31" s="1"/>
  <c r="H52" i="31" s="1"/>
  <c r="H53" i="31" s="1"/>
  <c r="H54" i="31" s="1"/>
  <c r="H55" i="31" s="1"/>
  <c r="H56" i="31" s="1"/>
  <c r="H57" i="31" s="1"/>
  <c r="H58" i="31" s="1"/>
  <c r="H59" i="31" s="1"/>
  <c r="H60" i="31" s="1"/>
  <c r="H61" i="31" s="1"/>
  <c r="H62" i="31" s="1"/>
  <c r="H63" i="31" s="1"/>
  <c r="H64" i="31" s="1"/>
  <c r="H65" i="31" s="1"/>
  <c r="H66" i="31" s="1"/>
  <c r="H67" i="31" s="1"/>
  <c r="H68" i="31" s="1"/>
  <c r="H69" i="31" s="1"/>
  <c r="H70" i="31" s="1"/>
  <c r="H71" i="31" s="1"/>
  <c r="H72" i="31" s="1"/>
  <c r="H73" i="31" s="1"/>
  <c r="H74" i="31" s="1"/>
  <c r="H75" i="31" s="1"/>
  <c r="H76" i="31" s="1"/>
  <c r="H77" i="31" s="1"/>
  <c r="H78" i="31" s="1"/>
  <c r="H79" i="31" s="1"/>
  <c r="H80" i="31" s="1"/>
  <c r="H81" i="31" s="1"/>
  <c r="H82" i="31" s="1"/>
  <c r="H83" i="31" s="1"/>
  <c r="H84" i="31" s="1"/>
  <c r="H85" i="31" s="1"/>
  <c r="H86" i="31" s="1"/>
  <c r="H87" i="31" s="1"/>
  <c r="H88" i="31" s="1"/>
  <c r="H89" i="31" s="1"/>
  <c r="H90" i="31" s="1"/>
  <c r="H91" i="31" s="1"/>
  <c r="H92" i="31" s="1"/>
  <c r="H93" i="31" s="1"/>
  <c r="H94" i="31" s="1"/>
  <c r="H95" i="31" s="1"/>
  <c r="H96" i="31" s="1"/>
  <c r="H97" i="31" s="1"/>
  <c r="H98" i="31" s="1"/>
  <c r="H99" i="31" s="1"/>
  <c r="H100" i="31" s="1"/>
  <c r="H101" i="31" s="1"/>
  <c r="H102" i="31" s="1"/>
  <c r="L19" i="32"/>
  <c r="R13" i="14"/>
  <c r="B8" i="14"/>
  <c r="P3" i="14"/>
  <c r="H5" i="14"/>
  <c r="E2" i="14"/>
  <c r="D2" i="14"/>
  <c r="S7" i="14"/>
  <c r="P11" i="14"/>
  <c r="F8" i="14"/>
  <c r="N8" i="14"/>
  <c r="S10" i="14"/>
  <c r="L6" i="14"/>
  <c r="J13" i="14"/>
  <c r="B7" i="14"/>
  <c r="E12" i="14"/>
  <c r="S6" i="14"/>
  <c r="T5" i="14"/>
  <c r="M12" i="14"/>
  <c r="C2" i="14"/>
  <c r="D15" i="14"/>
  <c r="M8" i="14"/>
  <c r="E8" i="14"/>
  <c r="J9" i="14"/>
  <c r="P10" i="14"/>
  <c r="E7" i="14"/>
  <c r="L15" i="14"/>
  <c r="Q7" i="14"/>
  <c r="R3" i="14"/>
  <c r="U8" i="14"/>
  <c r="K8" i="14"/>
  <c r="H6" i="14"/>
  <c r="P13" i="14"/>
  <c r="R7" i="14"/>
  <c r="D3" i="14"/>
  <c r="I10" i="14"/>
  <c r="I9" i="14"/>
  <c r="E4" i="14"/>
  <c r="U12" i="14"/>
  <c r="F12" i="14"/>
  <c r="U9" i="14"/>
  <c r="O10" i="14"/>
  <c r="F15" i="14"/>
  <c r="E15" i="14"/>
  <c r="Q5" i="14"/>
  <c r="D7" i="14"/>
  <c r="P2" i="14"/>
  <c r="J11" i="14"/>
  <c r="U10" i="14"/>
  <c r="D10" i="14"/>
  <c r="G2" i="14"/>
  <c r="L7" i="14"/>
  <c r="C7" i="14"/>
  <c r="N15" i="14"/>
  <c r="U3" i="14"/>
  <c r="I3" i="14"/>
  <c r="B12" i="14"/>
  <c r="B5" i="14"/>
  <c r="C4" i="14"/>
  <c r="D4" i="14"/>
  <c r="L8" i="14"/>
  <c r="L4" i="14"/>
  <c r="J4" i="14"/>
  <c r="G15" i="14"/>
  <c r="F5" i="14"/>
  <c r="O6" i="14"/>
  <c r="O2" i="14"/>
  <c r="R12" i="14"/>
  <c r="D8" i="14"/>
  <c r="N5" i="14"/>
  <c r="O3" i="14"/>
  <c r="M11" i="14"/>
  <c r="E13" i="14"/>
  <c r="F11" i="14"/>
  <c r="P6" i="14"/>
  <c r="I5" i="14"/>
  <c r="T13" i="14"/>
  <c r="M3" i="14"/>
  <c r="N9" i="14"/>
  <c r="F4" i="14"/>
  <c r="N4" i="14"/>
  <c r="G8" i="14"/>
  <c r="Q8" i="14"/>
  <c r="Q6" i="14"/>
  <c r="L13" i="14"/>
  <c r="C6" i="14"/>
  <c r="R8" i="14"/>
  <c r="K12" i="14"/>
  <c r="J3" i="14"/>
  <c r="N6" i="14"/>
  <c r="C12" i="14"/>
  <c r="U15" i="14"/>
  <c r="B2" i="14"/>
  <c r="T9" i="14"/>
  <c r="P9" i="14"/>
  <c r="J12" i="14"/>
  <c r="E9" i="14"/>
  <c r="B3" i="14"/>
  <c r="O7" i="14"/>
  <c r="O5" i="14"/>
  <c r="T4" i="14"/>
  <c r="L11" i="14"/>
  <c r="C11" i="14"/>
  <c r="S3" i="14"/>
  <c r="C9" i="14"/>
  <c r="L2" i="14"/>
  <c r="E10" i="14"/>
  <c r="D9" i="14"/>
  <c r="F9" i="14"/>
  <c r="G7" i="14"/>
  <c r="O9" i="14"/>
  <c r="J10" i="14"/>
  <c r="P5" i="14"/>
  <c r="I15" i="14"/>
  <c r="P12" i="14"/>
  <c r="O4" i="14"/>
  <c r="C3" i="14"/>
  <c r="Q11" i="14"/>
  <c r="F10" i="14"/>
  <c r="H2" i="14"/>
  <c r="J2" i="14"/>
  <c r="U11" i="14"/>
  <c r="R6" i="14"/>
  <c r="H7" i="14"/>
  <c r="B4" i="14"/>
  <c r="I11" i="14"/>
  <c r="D11" i="14"/>
  <c r="S2" i="14"/>
  <c r="S11" i="14"/>
  <c r="B15" i="14"/>
  <c r="K15" i="14"/>
  <c r="N3" i="14"/>
  <c r="P15" i="14"/>
  <c r="Q3" i="14"/>
  <c r="E11" i="14"/>
  <c r="E3" i="14"/>
  <c r="G11" i="14"/>
  <c r="U4" i="14"/>
  <c r="T6" i="14"/>
  <c r="J8" i="14"/>
  <c r="Q10" i="14"/>
  <c r="K7" i="14"/>
  <c r="G6" i="14"/>
  <c r="G9" i="14"/>
  <c r="F3" i="14"/>
  <c r="Q9" i="14"/>
  <c r="U6" i="14"/>
  <c r="G12" i="14"/>
  <c r="G5" i="14"/>
  <c r="H10" i="14"/>
  <c r="K10" i="14"/>
  <c r="C13" i="14"/>
  <c r="T15" i="14"/>
  <c r="J6" i="14"/>
  <c r="I7" i="14"/>
  <c r="P4" i="14"/>
  <c r="F7" i="14"/>
  <c r="N10" i="14"/>
  <c r="I4" i="14"/>
  <c r="S5" i="14"/>
  <c r="K2" i="14"/>
  <c r="Q13" i="14"/>
  <c r="M13" i="14"/>
  <c r="B6" i="14"/>
  <c r="O8" i="14"/>
  <c r="U13" i="14"/>
  <c r="T2" i="14"/>
  <c r="N7" i="14"/>
  <c r="R15" i="14"/>
  <c r="R4" i="14"/>
  <c r="T12" i="14"/>
  <c r="G13" i="14"/>
  <c r="K4" i="14"/>
  <c r="M9" i="14"/>
  <c r="I12" i="14"/>
  <c r="M7" i="14"/>
  <c r="M15" i="14"/>
  <c r="S4" i="14"/>
  <c r="C10" i="14"/>
  <c r="T8" i="14"/>
  <c r="K9" i="14"/>
  <c r="R10" i="14"/>
  <c r="H13" i="14"/>
  <c r="G4" i="14"/>
  <c r="R2" i="14"/>
  <c r="T3" i="14"/>
  <c r="J7" i="14"/>
  <c r="Q12" i="14"/>
  <c r="H15" i="14"/>
  <c r="G10" i="14"/>
  <c r="O15" i="14"/>
  <c r="J5" i="14"/>
  <c r="C5" i="14"/>
  <c r="F2" i="14"/>
  <c r="Q4" i="14"/>
  <c r="M10" i="14"/>
  <c r="M6" i="14"/>
  <c r="H11" i="14"/>
  <c r="S8" i="14"/>
  <c r="B9" i="14"/>
  <c r="G3" i="14"/>
  <c r="D12" i="14"/>
  <c r="N11" i="14"/>
  <c r="S12" i="14"/>
  <c r="K13" i="14"/>
  <c r="L3" i="14"/>
  <c r="N2" i="14"/>
  <c r="L9" i="14"/>
  <c r="D13" i="14"/>
  <c r="Q15" i="14"/>
  <c r="Q2" i="14"/>
  <c r="P7" i="14"/>
  <c r="E5" i="14"/>
  <c r="D6" i="14"/>
  <c r="M4" i="14"/>
  <c r="I8" i="14"/>
  <c r="H12" i="14"/>
  <c r="O11" i="14"/>
  <c r="D5" i="14"/>
  <c r="N12" i="14"/>
  <c r="M5" i="14"/>
  <c r="U5" i="14"/>
  <c r="R5" i="14"/>
  <c r="H9" i="14"/>
  <c r="O12" i="14"/>
  <c r="I2" i="14"/>
  <c r="K3" i="14"/>
  <c r="J15" i="14"/>
  <c r="F13" i="14"/>
  <c r="S15" i="14"/>
  <c r="B13" i="14"/>
  <c r="E6" i="14"/>
  <c r="I13" i="14"/>
  <c r="K5" i="14"/>
  <c r="R9" i="14"/>
  <c r="I6" i="14"/>
  <c r="B10" i="14"/>
  <c r="T7" i="14"/>
  <c r="K11" i="14"/>
  <c r="S13" i="14"/>
  <c r="L10" i="14"/>
  <c r="C15" i="14"/>
  <c r="F6" i="14"/>
  <c r="T11" i="14"/>
  <c r="B11" i="14"/>
  <c r="H8" i="14"/>
  <c r="S9" i="14"/>
  <c r="T10" i="14"/>
  <c r="P8" i="14"/>
  <c r="O13" i="14"/>
  <c r="U2" i="14"/>
  <c r="K6" i="14"/>
  <c r="H4" i="14"/>
  <c r="R11" i="14"/>
  <c r="H3" i="14"/>
  <c r="U7" i="14"/>
  <c r="N13" i="14"/>
  <c r="M2" i="14"/>
  <c r="L5" i="14"/>
  <c r="C8" i="14"/>
  <c r="L12" i="14"/>
  <c r="S14" i="14" l="1"/>
  <c r="C14" i="14"/>
  <c r="H14" i="14"/>
  <c r="G14" i="14"/>
  <c r="U14" i="14"/>
  <c r="T14" i="14"/>
  <c r="B14" i="14"/>
  <c r="D14" i="14"/>
  <c r="K14" i="14"/>
  <c r="I14" i="14"/>
  <c r="E14" i="14"/>
  <c r="N14" i="14"/>
  <c r="P14" i="14"/>
  <c r="M14" i="14"/>
  <c r="F14" i="14"/>
  <c r="Q14" i="14"/>
  <c r="R14" i="14"/>
  <c r="J14" i="14"/>
  <c r="L14" i="14"/>
  <c r="O14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Rogee</author>
  </authors>
  <commentList>
    <comment ref="I3" authorId="0" shapeId="0" xr:uid="{00000000-0006-0000-1600-000001000000}">
      <text>
        <r>
          <rPr>
            <sz val="9"/>
            <color rgb="FF000000"/>
            <rFont val="Tahoma"/>
            <family val="2"/>
          </rPr>
          <t xml:space="preserve">First, determine the Brand.  Then determine the Item sold.  Then attach a price from the price table and enter that number here.
</t>
        </r>
      </text>
    </comment>
  </commentList>
</comments>
</file>

<file path=xl/sharedStrings.xml><?xml version="1.0" encoding="utf-8"?>
<sst xmlns="http://schemas.openxmlformats.org/spreadsheetml/2006/main" count="1418" uniqueCount="94">
  <si>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</si>
  <si>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</si>
  <si>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</si>
  <si>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</si>
  <si>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</si>
  <si>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</si>
  <si>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</si>
  <si>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</si>
  <si>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</si>
  <si>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</si>
  <si>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</si>
  <si>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</si>
  <si>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TOTAL</t>
  </si>
  <si>
    <t>Region1</t>
  </si>
  <si>
    <t>Region2</t>
  </si>
  <si>
    <t>Region3</t>
  </si>
  <si>
    <t>Region4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</si>
  <si>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</si>
  <si>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</si>
  <si>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</si>
  <si>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</si>
  <si>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</si>
  <si>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</si>
  <si>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</si>
  <si>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</si>
  <si>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</si>
  <si>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</si>
  <si>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</si>
  <si>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</si>
  <si>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Region5</t>
  </si>
  <si>
    <t>Region6</t>
  </si>
  <si>
    <t>Region7</t>
  </si>
  <si>
    <t>Region8</t>
  </si>
  <si>
    <t>Region9</t>
  </si>
  <si>
    <t>Region10</t>
  </si>
  <si>
    <t>Region11</t>
  </si>
  <si>
    <t>Region12</t>
  </si>
  <si>
    <t>Region13</t>
  </si>
  <si>
    <t>Region14</t>
  </si>
  <si>
    <t>Region15</t>
  </si>
  <si>
    <t>Region16</t>
  </si>
  <si>
    <t>Region17</t>
  </si>
  <si>
    <t>Region18</t>
  </si>
  <si>
    <t>Region19</t>
  </si>
  <si>
    <t>Region20</t>
  </si>
  <si>
    <t>Month</t>
  </si>
  <si>
    <t>Sales</t>
  </si>
  <si>
    <t>Check</t>
  </si>
  <si>
    <t>Generic</t>
  </si>
  <si>
    <t>Plus</t>
  </si>
  <si>
    <t>Distribution of Sales</t>
  </si>
  <si>
    <t>Refrigerator</t>
  </si>
  <si>
    <t>TV</t>
  </si>
  <si>
    <t>Dryer</t>
  </si>
  <si>
    <t>Laptop</t>
  </si>
  <si>
    <t>Washer</t>
  </si>
  <si>
    <t>Desktop CPU</t>
  </si>
  <si>
    <t>Camera</t>
  </si>
  <si>
    <t>Guitar</t>
  </si>
  <si>
    <t>Speakers</t>
  </si>
  <si>
    <t>Phone</t>
  </si>
  <si>
    <t>Tablet</t>
  </si>
  <si>
    <t>E-Reader</t>
  </si>
  <si>
    <t>MP3 Player</t>
  </si>
  <si>
    <t>GPS</t>
  </si>
  <si>
    <t>Item</t>
  </si>
  <si>
    <t>Brand</t>
  </si>
  <si>
    <t>1-Year Warranty Price Table</t>
  </si>
  <si>
    <t>Simulation Number -------&gt;</t>
  </si>
  <si>
    <t>Item#</t>
  </si>
  <si>
    <t>Total Sales ($)</t>
  </si>
  <si>
    <t>Goal: Analyze the Sales Data</t>
  </si>
  <si>
    <t>List of Warranty Sales for 2012</t>
  </si>
  <si>
    <t>Warranty Revenue $</t>
  </si>
  <si>
    <t>Total Revenue</t>
  </si>
  <si>
    <t>Create a function that takes in Item and Brand then returns the 1-Year Warranty Price Table</t>
  </si>
  <si>
    <t>Enter in Quantity</t>
  </si>
  <si>
    <t>Total Sales Revenue ($):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</si>
  <si>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</si>
  <si>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</si>
  <si>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</si>
  <si>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</si>
  <si>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</si>
  <si>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</si>
  <si>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</si>
  <si>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</si>
  <si>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</si>
  <si>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</si>
  <si>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</si>
  <si>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</si>
  <si>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Average</t>
  </si>
  <si>
    <t>STDEV</t>
  </si>
  <si>
    <t>Hgh</t>
  </si>
  <si>
    <t>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</si>
</sst>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33CC"/>
      <name val="Calibri"/>
      <family val="2"/>
      <scheme val="minor"/>
    </font>
    <font>
      <sz val="11"/>
      <color rgb="FF000000"/>
      <name val="Calibri"/>
      <family val="2"/>
    </font>
    <font>
      <sz val="9"/>
      <color rgb="FF000000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1">
    <xf numFmtId="0" fontId="0" fillId="0" borderId="0" xfId="0"/>
    <xf numFmtId="0" fontId="2" fillId="0" borderId="0" xfId="0" applyFont="1"/>
    <xf numFmtId="164" fontId="0" fillId="0" borderId="0" xfId="1" applyNumberFormat="1" applyFont="1"/>
    <xf numFmtId="164" fontId="2" fillId="0" borderId="0" xfId="1" applyNumberFormat="1" applyFont="1"/>
    <xf numFmtId="0" fontId="0" fillId="0" borderId="1" xfId="0" applyBorder="1"/>
    <xf numFmtId="164" fontId="0" fillId="0" borderId="1" xfId="1" applyNumberFormat="1" applyFont="1" applyBorder="1"/>
    <xf numFmtId="0" fontId="3" fillId="0" borderId="0" xfId="0" applyFont="1" applyAlignment="1">
      <alignment horizontal="right"/>
    </xf>
    <xf numFmtId="0" fontId="3" fillId="0" borderId="1" xfId="0" applyFont="1" applyBorder="1" applyAlignment="1">
      <alignment horizontal="right"/>
    </xf>
    <xf numFmtId="0" fontId="5" fillId="0" borderId="0" xfId="0" applyFont="1" applyFill="1" applyBorder="1"/>
    <xf numFmtId="0" fontId="5" fillId="0" borderId="0" xfId="0" applyFont="1"/>
    <xf numFmtId="164" fontId="5" fillId="0" borderId="0" xfId="0" applyNumberFormat="1" applyFont="1"/>
    <xf numFmtId="0" fontId="0" fillId="0" borderId="2" xfId="0" applyBorder="1"/>
    <xf numFmtId="9" fontId="0" fillId="0" borderId="2" xfId="2" applyFont="1" applyBorder="1"/>
    <xf numFmtId="9" fontId="0" fillId="0" borderId="2" xfId="0" applyNumberFormat="1" applyBorder="1"/>
    <xf numFmtId="0" fontId="2" fillId="2" borderId="2" xfId="0" applyFont="1" applyFill="1" applyBorder="1"/>
    <xf numFmtId="0" fontId="0" fillId="3" borderId="6" xfId="0" applyFill="1" applyBorder="1"/>
    <xf numFmtId="0" fontId="2" fillId="3" borderId="7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6" xfId="0" applyFill="1" applyBorder="1" applyAlignment="1">
      <alignment horizontal="left"/>
    </xf>
    <xf numFmtId="0" fontId="0" fillId="3" borderId="11" xfId="0" applyFill="1" applyBorder="1" applyAlignment="1">
      <alignment horizontal="left"/>
    </xf>
    <xf numFmtId="0" fontId="2" fillId="0" borderId="0" xfId="0" applyFont="1" applyAlignment="1">
      <alignment horizontal="center"/>
    </xf>
    <xf numFmtId="0" fontId="0" fillId="0" borderId="0" xfId="0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6" fillId="0" borderId="0" xfId="0" applyFont="1"/>
    <xf numFmtId="0" fontId="7" fillId="0" borderId="0" xfId="0" applyFont="1" applyFill="1"/>
    <xf numFmtId="0" fontId="0" fillId="0" borderId="0" xfId="0" applyFill="1" applyAlignment="1">
      <alignment horizontal="center"/>
    </xf>
    <xf numFmtId="0" fontId="0" fillId="0" borderId="0" xfId="0" applyFill="1"/>
    <xf numFmtId="0" fontId="2" fillId="5" borderId="7" xfId="0" applyFont="1" applyFill="1" applyBorder="1" applyAlignment="1">
      <alignment horizontal="center"/>
    </xf>
    <xf numFmtId="0" fontId="2" fillId="5" borderId="14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center" wrapText="1"/>
    </xf>
    <xf numFmtId="0" fontId="2" fillId="0" borderId="0" xfId="0" applyFont="1" applyFill="1" applyBorder="1" applyAlignment="1">
      <alignment horizontal="center" wrapText="1"/>
    </xf>
    <xf numFmtId="0" fontId="0" fillId="0" borderId="6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0" xfId="0" applyBorder="1"/>
    <xf numFmtId="0" fontId="0" fillId="4" borderId="0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7" fillId="4" borderId="7" xfId="0" applyFont="1" applyFill="1" applyBorder="1"/>
    <xf numFmtId="0" fontId="4" fillId="4" borderId="14" xfId="0" applyFont="1" applyFill="1" applyBorder="1" applyAlignment="1">
      <alignment horizontal="center"/>
    </xf>
    <xf numFmtId="0" fontId="4" fillId="4" borderId="14" xfId="0" applyFont="1" applyFill="1" applyBorder="1"/>
    <xf numFmtId="0" fontId="4" fillId="4" borderId="8" xfId="0" applyFont="1" applyFill="1" applyBorder="1"/>
    <xf numFmtId="0" fontId="5" fillId="0" borderId="0" xfId="0" applyFont="1" applyAlignment="1">
      <alignment horizontal="center"/>
    </xf>
    <xf numFmtId="164" fontId="5" fillId="0" borderId="0" xfId="1" applyNumberFormat="1" applyFont="1"/>
    <xf numFmtId="0" fontId="2" fillId="6" borderId="2" xfId="0" applyFont="1" applyFill="1" applyBorder="1"/>
    <xf numFmtId="0" fontId="2" fillId="6" borderId="2" xfId="0" applyFont="1" applyFill="1" applyBorder="1" applyAlignment="1">
      <alignment horizontal="center"/>
    </xf>
    <xf numFmtId="0" fontId="8" fillId="0" borderId="2" xfId="0" applyFont="1" applyBorder="1"/>
    <xf numFmtId="0" fontId="0" fillId="0" borderId="0" xfId="0" applyBorder="1" applyAlignment="1"/>
    <xf numFmtId="0" fontId="2" fillId="3" borderId="3" xfId="0" applyFont="1" applyFill="1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2" fillId="3" borderId="7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44" fontId="0" fillId="0" borderId="7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sales by Simulation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Distibution!$I$103:$BF$103</c:f>
              <c:numCache>
                <c:formatCode>General</c:formatCode>
                <c:ptCount val="50"/>
                <c:pt idx="0">
                  <c:v>6279</c:v>
                </c:pt>
                <c:pt idx="1">
                  <c:v>6534</c:v>
                </c:pt>
                <c:pt idx="2">
                  <c:v>5971</c:v>
                </c:pt>
                <c:pt idx="3">
                  <c:v>5827</c:v>
                </c:pt>
                <c:pt idx="4">
                  <c:v>6498</c:v>
                </c:pt>
                <c:pt idx="5">
                  <c:v>5972</c:v>
                </c:pt>
                <c:pt idx="6">
                  <c:v>6212</c:v>
                </c:pt>
                <c:pt idx="7">
                  <c:v>6669</c:v>
                </c:pt>
                <c:pt idx="8">
                  <c:v>6618</c:v>
                </c:pt>
                <c:pt idx="9">
                  <c:v>6123</c:v>
                </c:pt>
                <c:pt idx="10">
                  <c:v>6114</c:v>
                </c:pt>
                <c:pt idx="11">
                  <c:v>6449</c:v>
                </c:pt>
                <c:pt idx="12">
                  <c:v>6273</c:v>
                </c:pt>
                <c:pt idx="13">
                  <c:v>5896</c:v>
                </c:pt>
                <c:pt idx="14">
                  <c:v>5764</c:v>
                </c:pt>
                <c:pt idx="15">
                  <c:v>5926</c:v>
                </c:pt>
                <c:pt idx="16">
                  <c:v>6907</c:v>
                </c:pt>
                <c:pt idx="17">
                  <c:v>7141</c:v>
                </c:pt>
                <c:pt idx="18">
                  <c:v>6775</c:v>
                </c:pt>
                <c:pt idx="19">
                  <c:v>6714</c:v>
                </c:pt>
                <c:pt idx="20">
                  <c:v>6183</c:v>
                </c:pt>
                <c:pt idx="21">
                  <c:v>6567</c:v>
                </c:pt>
                <c:pt idx="22">
                  <c:v>5191</c:v>
                </c:pt>
                <c:pt idx="23">
                  <c:v>6922</c:v>
                </c:pt>
                <c:pt idx="24">
                  <c:v>7036</c:v>
                </c:pt>
                <c:pt idx="25">
                  <c:v>6267</c:v>
                </c:pt>
                <c:pt idx="26">
                  <c:v>6116</c:v>
                </c:pt>
                <c:pt idx="27">
                  <c:v>6585</c:v>
                </c:pt>
                <c:pt idx="28">
                  <c:v>6697</c:v>
                </c:pt>
                <c:pt idx="29">
                  <c:v>6107</c:v>
                </c:pt>
                <c:pt idx="30">
                  <c:v>6091</c:v>
                </c:pt>
                <c:pt idx="31">
                  <c:v>6429</c:v>
                </c:pt>
                <c:pt idx="32">
                  <c:v>6357</c:v>
                </c:pt>
                <c:pt idx="33">
                  <c:v>6316</c:v>
                </c:pt>
                <c:pt idx="34">
                  <c:v>7406</c:v>
                </c:pt>
                <c:pt idx="35">
                  <c:v>6740</c:v>
                </c:pt>
                <c:pt idx="36">
                  <c:v>6806</c:v>
                </c:pt>
                <c:pt idx="37">
                  <c:v>6442</c:v>
                </c:pt>
                <c:pt idx="38">
                  <c:v>7264</c:v>
                </c:pt>
                <c:pt idx="39">
                  <c:v>7181</c:v>
                </c:pt>
                <c:pt idx="40">
                  <c:v>6036</c:v>
                </c:pt>
                <c:pt idx="41">
                  <c:v>6840</c:v>
                </c:pt>
                <c:pt idx="42">
                  <c:v>6411</c:v>
                </c:pt>
                <c:pt idx="43">
                  <c:v>6420</c:v>
                </c:pt>
                <c:pt idx="44">
                  <c:v>5434</c:v>
                </c:pt>
                <c:pt idx="45">
                  <c:v>6547</c:v>
                </c:pt>
                <c:pt idx="46">
                  <c:v>6622</c:v>
                </c:pt>
                <c:pt idx="47">
                  <c:v>7114</c:v>
                </c:pt>
                <c:pt idx="48">
                  <c:v>6734</c:v>
                </c:pt>
                <c:pt idx="49">
                  <c:v>6534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B-E74B-83AE-06A42DED0A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35566240"/>
        <c:axId val="1435729504"/>
      </c:barChart>
      <c:catAx>
        <c:axId val="14355662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5729504"/>
        <c:crosses val="autoZero"/>
        <c:auto val="1"/>
        <c:lblAlgn val="ctr"/>
        <c:lblOffset val="100"/>
        <c:noMultiLvlLbl val="0"/>
      </c:catAx>
      <c:valAx>
        <c:axId val="143572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5566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247650</xdr:colOff>
      <xdr:row>6</xdr:row>
      <xdr:rowOff>57150</xdr:rowOff>
    </xdr:from>
    <xdr:to>
      <xdr:col>9</xdr:col>
      <xdr:colOff>552918</xdr:colOff>
      <xdr:row>10</xdr:row>
      <xdr:rowOff>104888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86050" y="1200150"/>
          <a:ext cx="3353268" cy="8097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762000</xdr:colOff>
      <xdr:row>102</xdr:row>
      <xdr:rowOff>171450</xdr:rowOff>
    </xdr:from>
    <xdr:to>
      <xdr:col>5</xdr:col>
      <xdr:colOff>647700</xdr:colOff>
      <xdr:row>117</xdr:row>
      <xdr:rowOff>57150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50AC2BC-293F-684D-87C6-6DEDD4A3A6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203200</xdr:colOff>
          <xdr:row>16</xdr:row>
          <xdr:rowOff>139700</xdr:rowOff>
        </xdr:from>
        <xdr:to>
          <xdr:col>5</xdr:col>
          <xdr:colOff>520700</xdr:colOff>
          <xdr:row>19</xdr:row>
          <xdr:rowOff>63500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8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/>
  <dimension ref="A1"/>
  <sheetViews>
    <sheetView workbookViewId="0">
      <selection activeCell="H20" sqref="H20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V15"/>
  <sheetViews>
    <sheetView workbookViewId="0">
      <selection activeCell="L15" sqref="L15"/>
    </sheetView>
  </sheetViews>
  <sheetFormatPr baseColWidth="10" defaultColWidth="8.83203125" defaultRowHeight="15" x14ac:dyDescent="0.2"/>
  <sheetData>
    <row r="1" spans="1:22" x14ac:dyDescent="0.2">
      <c r="B1" t="s">
        <v>13</v>
      </c>
      <c r="C1" t="s">
        <v>14</v>
      </c>
      <c r="D1" t="s">
        <v>15</v>
      </c>
      <c r="E1" t="s">
        <v>16</v>
      </c>
      <c r="F1" t="s">
        <v>29</v>
      </c>
      <c r="G1" t="s">
        <v>30</v>
      </c>
      <c r="H1" t="s">
        <v>31</v>
      </c>
      <c r="I1" t="s">
        <v>32</v>
      </c>
      <c r="J1" t="s">
        <v>33</v>
      </c>
      <c r="K1" t="s">
        <v>34</v>
      </c>
      <c r="L1" t="s">
        <v>35</v>
      </c>
      <c r="M1" t="s">
        <v>36</v>
      </c>
      <c r="N1" t="s">
        <v>37</v>
      </c>
      <c r="O1" t="s">
        <v>38</v>
      </c>
      <c r="P1" t="s">
        <v>39</v>
      </c>
      <c r="Q1" t="s">
        <v>40</v>
      </c>
      <c r="R1" t="s">
        <v>41</v>
      </c>
      <c r="S1" t="s">
        <v>42</v>
      </c>
      <c r="T1" t="s">
        <v>43</v>
      </c>
      <c r="U1" t="s">
        <v>44</v>
      </c>
    </row>
    <row r="2" spans="1:22" x14ac:dyDescent="0.2">
      <c r="A2" t="s">
        <v>0</v>
      </c>
      <c r="B2" s="2">
        <f ca="1">INDIRECT("'"&amp;B$1&amp;"'!"&amp;$V2)</f>
        <v>785.21221923828125</v>
      </c>
      <c r="C2" s="2">
        <f t="shared" ref="C2:U13" ca="1" si="0">INDIRECT("'"&amp;C$1&amp;"'!"&amp;$V2)</f>
        <v>29</v>
      </c>
      <c r="D2" s="2">
        <f t="shared" ca="1" si="0"/>
        <v>943</v>
      </c>
      <c r="E2" s="2">
        <f t="shared" ca="1" si="0"/>
        <v>551</v>
      </c>
      <c r="F2" s="2">
        <f t="shared" ca="1" si="0"/>
        <v>703</v>
      </c>
      <c r="G2" s="2">
        <f t="shared" ca="1" si="0"/>
        <v>645</v>
      </c>
      <c r="H2" s="2">
        <f t="shared" ca="1" si="0"/>
        <v>985</v>
      </c>
      <c r="I2" s="2">
        <f t="shared" ca="1" si="0"/>
        <v>501</v>
      </c>
      <c r="J2" s="2">
        <f t="shared" ca="1" si="0"/>
        <v>17</v>
      </c>
      <c r="K2" s="2">
        <f t="shared" ca="1" si="0"/>
        <v>254</v>
      </c>
      <c r="L2" s="2">
        <f t="shared" ca="1" si="0"/>
        <v>140</v>
      </c>
      <c r="M2" s="2">
        <f t="shared" ca="1" si="0"/>
        <v>135</v>
      </c>
      <c r="N2" s="2">
        <f t="shared" ca="1" si="0"/>
        <v>923</v>
      </c>
      <c r="O2" s="2">
        <f t="shared" ca="1" si="0"/>
        <v>531</v>
      </c>
      <c r="P2" s="2">
        <f t="shared" ca="1" si="0"/>
        <v>128</v>
      </c>
      <c r="Q2" s="2">
        <f t="shared" ca="1" si="0"/>
        <v>645</v>
      </c>
      <c r="R2" s="2">
        <f t="shared" ca="1" si="0"/>
        <v>352</v>
      </c>
      <c r="S2" s="2">
        <f t="shared" ca="1" si="0"/>
        <v>859</v>
      </c>
      <c r="T2" s="2">
        <f t="shared" ca="1" si="0"/>
        <v>649</v>
      </c>
      <c r="U2" s="2">
        <f t="shared" ca="1" si="0"/>
        <v>261</v>
      </c>
      <c r="V2" s="6" t="s">
        <v>17</v>
      </c>
    </row>
    <row r="3" spans="1:22" x14ac:dyDescent="0.2">
      <c r="A3" t="s">
        <v>1</v>
      </c>
      <c r="B3" s="2">
        <f t="shared" ref="B3:Q13" ca="1" si="1">INDIRECT("'"&amp;B$1&amp;"'!"&amp;$V3)</f>
        <v>378.90255737304688</v>
      </c>
      <c r="C3" s="2">
        <f t="shared" ca="1" si="1"/>
        <v>162</v>
      </c>
      <c r="D3" s="2">
        <f t="shared" ca="1" si="1"/>
        <v>728</v>
      </c>
      <c r="E3" s="2">
        <f t="shared" ca="1" si="1"/>
        <v>941</v>
      </c>
      <c r="F3" s="2">
        <f t="shared" ca="1" si="1"/>
        <v>169</v>
      </c>
      <c r="G3" s="2">
        <f t="shared" ca="1" si="1"/>
        <v>939</v>
      </c>
      <c r="H3" s="2">
        <f t="shared" ca="1" si="1"/>
        <v>739</v>
      </c>
      <c r="I3" s="2">
        <f t="shared" ca="1" si="1"/>
        <v>747</v>
      </c>
      <c r="J3" s="2">
        <f t="shared" ca="1" si="1"/>
        <v>388</v>
      </c>
      <c r="K3" s="2">
        <f t="shared" ca="1" si="1"/>
        <v>352</v>
      </c>
      <c r="L3" s="2">
        <f t="shared" ca="1" si="1"/>
        <v>422</v>
      </c>
      <c r="M3" s="2">
        <f t="shared" ca="1" si="1"/>
        <v>534</v>
      </c>
      <c r="N3" s="2">
        <f t="shared" ca="1" si="1"/>
        <v>90</v>
      </c>
      <c r="O3" s="2">
        <f t="shared" ca="1" si="1"/>
        <v>166</v>
      </c>
      <c r="P3" s="2">
        <f t="shared" ca="1" si="1"/>
        <v>565</v>
      </c>
      <c r="Q3" s="2">
        <f t="shared" ca="1" si="1"/>
        <v>719</v>
      </c>
      <c r="R3" s="2">
        <f t="shared" ca="1" si="0"/>
        <v>980</v>
      </c>
      <c r="S3" s="2">
        <f t="shared" ca="1" si="0"/>
        <v>513</v>
      </c>
      <c r="T3" s="2">
        <f t="shared" ca="1" si="0"/>
        <v>9</v>
      </c>
      <c r="U3" s="2">
        <f t="shared" ca="1" si="0"/>
        <v>872</v>
      </c>
      <c r="V3" s="6" t="s">
        <v>18</v>
      </c>
    </row>
    <row r="4" spans="1:22" x14ac:dyDescent="0.2">
      <c r="A4" t="s">
        <v>2</v>
      </c>
      <c r="B4" s="2">
        <f t="shared" ca="1" si="1"/>
        <v>289.6650390625</v>
      </c>
      <c r="C4" s="2">
        <f t="shared" ca="1" si="1"/>
        <v>256</v>
      </c>
      <c r="D4" s="2">
        <f t="shared" ca="1" si="1"/>
        <v>939</v>
      </c>
      <c r="E4" s="2">
        <f t="shared" ca="1" si="1"/>
        <v>761</v>
      </c>
      <c r="F4" s="2">
        <f t="shared" ca="1" si="1"/>
        <v>678</v>
      </c>
      <c r="G4" s="2">
        <f t="shared" ca="1" si="1"/>
        <v>104</v>
      </c>
      <c r="H4" s="2">
        <f t="shared" ca="1" si="1"/>
        <v>892</v>
      </c>
      <c r="I4" s="2">
        <f t="shared" ca="1" si="1"/>
        <v>553</v>
      </c>
      <c r="J4" s="2">
        <f t="shared" ca="1" si="1"/>
        <v>740</v>
      </c>
      <c r="K4" s="2">
        <f t="shared" ca="1" si="1"/>
        <v>718</v>
      </c>
      <c r="L4" s="2">
        <f t="shared" ca="1" si="0"/>
        <v>917</v>
      </c>
      <c r="M4" s="2">
        <f t="shared" ca="1" si="0"/>
        <v>90</v>
      </c>
      <c r="N4" s="2">
        <f t="shared" ca="1" si="0"/>
        <v>793</v>
      </c>
      <c r="O4" s="2">
        <f t="shared" ca="1" si="0"/>
        <v>989</v>
      </c>
      <c r="P4" s="2">
        <f t="shared" ca="1" si="0"/>
        <v>713</v>
      </c>
      <c r="Q4" s="2">
        <f t="shared" ca="1" si="0"/>
        <v>687</v>
      </c>
      <c r="R4" s="2">
        <f t="shared" ca="1" si="0"/>
        <v>232</v>
      </c>
      <c r="S4" s="2">
        <f t="shared" ca="1" si="0"/>
        <v>122</v>
      </c>
      <c r="T4" s="2">
        <f t="shared" ca="1" si="0"/>
        <v>237</v>
      </c>
      <c r="U4" s="2">
        <f t="shared" ca="1" si="0"/>
        <v>685</v>
      </c>
      <c r="V4" s="6" t="s">
        <v>19</v>
      </c>
    </row>
    <row r="5" spans="1:22" x14ac:dyDescent="0.2">
      <c r="A5" t="s">
        <v>3</v>
      </c>
      <c r="B5" s="2">
        <f t="shared" ca="1" si="1"/>
        <v>919.3770751953125</v>
      </c>
      <c r="C5" s="2">
        <f t="shared" ca="1" si="1"/>
        <v>288</v>
      </c>
      <c r="D5" s="2">
        <f t="shared" ca="1" si="1"/>
        <v>509</v>
      </c>
      <c r="E5" s="2">
        <f t="shared" ca="1" si="1"/>
        <v>583</v>
      </c>
      <c r="F5" s="2">
        <f t="shared" ca="1" si="1"/>
        <v>717</v>
      </c>
      <c r="G5" s="2">
        <f t="shared" ca="1" si="1"/>
        <v>906</v>
      </c>
      <c r="H5" s="2">
        <f t="shared" ca="1" si="1"/>
        <v>826</v>
      </c>
      <c r="I5" s="2">
        <f t="shared" ca="1" si="1"/>
        <v>747</v>
      </c>
      <c r="J5" s="2">
        <f t="shared" ca="1" si="1"/>
        <v>114</v>
      </c>
      <c r="K5" s="2">
        <f t="shared" ca="1" si="1"/>
        <v>732</v>
      </c>
      <c r="L5" s="2">
        <f t="shared" ca="1" si="0"/>
        <v>735</v>
      </c>
      <c r="M5" s="2">
        <f t="shared" ca="1" si="0"/>
        <v>486</v>
      </c>
      <c r="N5" s="2">
        <f t="shared" ca="1" si="0"/>
        <v>319</v>
      </c>
      <c r="O5" s="2">
        <f t="shared" ca="1" si="0"/>
        <v>634</v>
      </c>
      <c r="P5" s="2">
        <f t="shared" ca="1" si="0"/>
        <v>544</v>
      </c>
      <c r="Q5" s="2">
        <f t="shared" ca="1" si="0"/>
        <v>226</v>
      </c>
      <c r="R5" s="2">
        <f t="shared" ca="1" si="0"/>
        <v>134</v>
      </c>
      <c r="S5" s="2">
        <f t="shared" ca="1" si="0"/>
        <v>942</v>
      </c>
      <c r="T5" s="2">
        <f t="shared" ca="1" si="0"/>
        <v>322</v>
      </c>
      <c r="U5" s="2">
        <f t="shared" ca="1" si="0"/>
        <v>964</v>
      </c>
      <c r="V5" s="6" t="s">
        <v>20</v>
      </c>
    </row>
    <row r="6" spans="1:22" x14ac:dyDescent="0.2">
      <c r="A6" t="s">
        <v>4</v>
      </c>
      <c r="B6" s="2">
        <f t="shared" ca="1" si="1"/>
        <v>631.742431640625</v>
      </c>
      <c r="C6" s="2">
        <f t="shared" ca="1" si="1"/>
        <v>197</v>
      </c>
      <c r="D6" s="2">
        <f t="shared" ca="1" si="1"/>
        <v>298</v>
      </c>
      <c r="E6" s="2">
        <f t="shared" ca="1" si="1"/>
        <v>940</v>
      </c>
      <c r="F6" s="2">
        <f t="shared" ca="1" si="1"/>
        <v>933</v>
      </c>
      <c r="G6" s="2">
        <f t="shared" ca="1" si="1"/>
        <v>397</v>
      </c>
      <c r="H6" s="2">
        <f t="shared" ca="1" si="1"/>
        <v>617</v>
      </c>
      <c r="I6" s="2">
        <f t="shared" ca="1" si="1"/>
        <v>178</v>
      </c>
      <c r="J6" s="2">
        <f t="shared" ca="1" si="1"/>
        <v>119</v>
      </c>
      <c r="K6" s="2">
        <f t="shared" ca="1" si="1"/>
        <v>298</v>
      </c>
      <c r="L6" s="2">
        <f t="shared" ca="1" si="0"/>
        <v>392</v>
      </c>
      <c r="M6" s="2">
        <f t="shared" ca="1" si="0"/>
        <v>870</v>
      </c>
      <c r="N6" s="2">
        <f t="shared" ca="1" si="0"/>
        <v>518</v>
      </c>
      <c r="O6" s="2">
        <f t="shared" ca="1" si="0"/>
        <v>6</v>
      </c>
      <c r="P6" s="2">
        <f t="shared" ca="1" si="0"/>
        <v>576</v>
      </c>
      <c r="Q6" s="2">
        <f t="shared" ca="1" si="0"/>
        <v>368</v>
      </c>
      <c r="R6" s="2">
        <f t="shared" ca="1" si="0"/>
        <v>681</v>
      </c>
      <c r="S6" s="2">
        <f t="shared" ca="1" si="0"/>
        <v>31</v>
      </c>
      <c r="T6" s="2">
        <f t="shared" ca="1" si="0"/>
        <v>572</v>
      </c>
      <c r="U6" s="2">
        <f t="shared" ca="1" si="0"/>
        <v>275</v>
      </c>
      <c r="V6" s="6" t="s">
        <v>21</v>
      </c>
    </row>
    <row r="7" spans="1:22" x14ac:dyDescent="0.2">
      <c r="A7" t="s">
        <v>5</v>
      </c>
      <c r="B7" s="2">
        <f t="shared" ca="1" si="1"/>
        <v>627.64202880859375</v>
      </c>
      <c r="C7" s="2">
        <f t="shared" ca="1" si="1"/>
        <v>559</v>
      </c>
      <c r="D7" s="2">
        <f t="shared" ca="1" si="1"/>
        <v>445</v>
      </c>
      <c r="E7" s="2">
        <f t="shared" ca="1" si="1"/>
        <v>542</v>
      </c>
      <c r="F7" s="2">
        <f t="shared" ca="1" si="1"/>
        <v>83</v>
      </c>
      <c r="G7" s="2">
        <f t="shared" ca="1" si="1"/>
        <v>72</v>
      </c>
      <c r="H7" s="2">
        <f t="shared" ca="1" si="1"/>
        <v>693</v>
      </c>
      <c r="I7" s="2">
        <f t="shared" ca="1" si="1"/>
        <v>96</v>
      </c>
      <c r="J7" s="2">
        <f t="shared" ca="1" si="1"/>
        <v>292</v>
      </c>
      <c r="K7" s="2">
        <f t="shared" ca="1" si="1"/>
        <v>699</v>
      </c>
      <c r="L7" s="2">
        <f t="shared" ca="1" si="0"/>
        <v>39</v>
      </c>
      <c r="M7" s="2">
        <f t="shared" ca="1" si="0"/>
        <v>834</v>
      </c>
      <c r="N7" s="2">
        <f t="shared" ca="1" si="0"/>
        <v>739</v>
      </c>
      <c r="O7" s="2">
        <f t="shared" ca="1" si="0"/>
        <v>223</v>
      </c>
      <c r="P7" s="2">
        <f t="shared" ca="1" si="0"/>
        <v>83</v>
      </c>
      <c r="Q7" s="2">
        <f t="shared" ca="1" si="0"/>
        <v>487</v>
      </c>
      <c r="R7" s="2">
        <f t="shared" ca="1" si="0"/>
        <v>388</v>
      </c>
      <c r="S7" s="2">
        <f t="shared" ca="1" si="0"/>
        <v>130</v>
      </c>
      <c r="T7" s="2">
        <f t="shared" ca="1" si="0"/>
        <v>433</v>
      </c>
      <c r="U7" s="2">
        <f t="shared" ca="1" si="0"/>
        <v>535</v>
      </c>
      <c r="V7" s="6" t="s">
        <v>22</v>
      </c>
    </row>
    <row r="8" spans="1:22" x14ac:dyDescent="0.2">
      <c r="A8" t="s">
        <v>6</v>
      </c>
      <c r="B8" s="2">
        <f t="shared" ca="1" si="1"/>
        <v>428.45635986328125</v>
      </c>
      <c r="C8" s="2">
        <f t="shared" ca="1" si="1"/>
        <v>54</v>
      </c>
      <c r="D8" s="2">
        <f t="shared" ca="1" si="1"/>
        <v>434</v>
      </c>
      <c r="E8" s="2">
        <f t="shared" ca="1" si="1"/>
        <v>821</v>
      </c>
      <c r="F8" s="2">
        <f t="shared" ca="1" si="1"/>
        <v>579</v>
      </c>
      <c r="G8" s="2">
        <f t="shared" ca="1" si="1"/>
        <v>642</v>
      </c>
      <c r="H8" s="2">
        <f t="shared" ca="1" si="1"/>
        <v>731</v>
      </c>
      <c r="I8" s="2">
        <f t="shared" ca="1" si="1"/>
        <v>770</v>
      </c>
      <c r="J8" s="2">
        <f t="shared" ca="1" si="1"/>
        <v>835</v>
      </c>
      <c r="K8" s="2">
        <f t="shared" ca="1" si="1"/>
        <v>958</v>
      </c>
      <c r="L8" s="2">
        <f t="shared" ca="1" si="0"/>
        <v>108</v>
      </c>
      <c r="M8" s="2">
        <f t="shared" ca="1" si="0"/>
        <v>109</v>
      </c>
      <c r="N8" s="2">
        <f t="shared" ca="1" si="0"/>
        <v>399</v>
      </c>
      <c r="O8" s="2">
        <f t="shared" ca="1" si="0"/>
        <v>855</v>
      </c>
      <c r="P8" s="2">
        <f t="shared" ca="1" si="0"/>
        <v>971</v>
      </c>
      <c r="Q8" s="2">
        <f t="shared" ca="1" si="0"/>
        <v>872</v>
      </c>
      <c r="R8" s="2">
        <f t="shared" ca="1" si="0"/>
        <v>481</v>
      </c>
      <c r="S8" s="2">
        <f t="shared" ca="1" si="0"/>
        <v>980</v>
      </c>
      <c r="T8" s="2">
        <f t="shared" ca="1" si="0"/>
        <v>899</v>
      </c>
      <c r="U8" s="2">
        <f t="shared" ca="1" si="0"/>
        <v>466</v>
      </c>
      <c r="V8" s="6" t="s">
        <v>23</v>
      </c>
    </row>
    <row r="9" spans="1:22" x14ac:dyDescent="0.2">
      <c r="A9" t="s">
        <v>7</v>
      </c>
      <c r="B9" s="2">
        <f t="shared" ca="1" si="1"/>
        <v>97.973823547363281</v>
      </c>
      <c r="C9" s="2">
        <f t="shared" ca="1" si="1"/>
        <v>964</v>
      </c>
      <c r="D9" s="2">
        <f t="shared" ca="1" si="1"/>
        <v>503</v>
      </c>
      <c r="E9" s="2">
        <f t="shared" ca="1" si="1"/>
        <v>479</v>
      </c>
      <c r="F9" s="2">
        <f t="shared" ca="1" si="1"/>
        <v>106</v>
      </c>
      <c r="G9" s="2">
        <f t="shared" ca="1" si="1"/>
        <v>562</v>
      </c>
      <c r="H9" s="2">
        <f t="shared" ca="1" si="1"/>
        <v>634</v>
      </c>
      <c r="I9" s="2">
        <f t="shared" ca="1" si="1"/>
        <v>737</v>
      </c>
      <c r="J9" s="2">
        <f t="shared" ca="1" si="1"/>
        <v>24</v>
      </c>
      <c r="K9" s="2">
        <f t="shared" ca="1" si="1"/>
        <v>861</v>
      </c>
      <c r="L9" s="2">
        <f t="shared" ca="1" si="0"/>
        <v>148</v>
      </c>
      <c r="M9" s="2">
        <f t="shared" ca="1" si="0"/>
        <v>386</v>
      </c>
      <c r="N9" s="2">
        <f t="shared" ca="1" si="0"/>
        <v>741</v>
      </c>
      <c r="O9" s="2">
        <f t="shared" ca="1" si="0"/>
        <v>164</v>
      </c>
      <c r="P9" s="2">
        <f t="shared" ca="1" si="0"/>
        <v>425</v>
      </c>
      <c r="Q9" s="2">
        <f t="shared" ca="1" si="0"/>
        <v>387</v>
      </c>
      <c r="R9" s="2">
        <f t="shared" ca="1" si="0"/>
        <v>394</v>
      </c>
      <c r="S9" s="2">
        <f t="shared" ca="1" si="0"/>
        <v>521</v>
      </c>
      <c r="T9" s="2">
        <f t="shared" ca="1" si="0"/>
        <v>660</v>
      </c>
      <c r="U9" s="2">
        <f t="shared" ca="1" si="0"/>
        <v>796</v>
      </c>
      <c r="V9" s="6" t="s">
        <v>24</v>
      </c>
    </row>
    <row r="10" spans="1:22" x14ac:dyDescent="0.2">
      <c r="A10" t="s">
        <v>8</v>
      </c>
      <c r="B10" s="2">
        <f t="shared" ca="1" si="1"/>
        <v>561.04010009765625</v>
      </c>
      <c r="C10" s="2">
        <f t="shared" ca="1" si="1"/>
        <v>644</v>
      </c>
      <c r="D10" s="2">
        <f t="shared" ca="1" si="1"/>
        <v>14</v>
      </c>
      <c r="E10" s="2">
        <f t="shared" ca="1" si="1"/>
        <v>877</v>
      </c>
      <c r="F10" s="2">
        <f t="shared" ca="1" si="1"/>
        <v>8</v>
      </c>
      <c r="G10" s="2">
        <f t="shared" ca="1" si="1"/>
        <v>260</v>
      </c>
      <c r="H10" s="2">
        <f t="shared" ca="1" si="1"/>
        <v>645</v>
      </c>
      <c r="I10" s="2">
        <f t="shared" ca="1" si="1"/>
        <v>250</v>
      </c>
      <c r="J10" s="2">
        <f t="shared" ca="1" si="1"/>
        <v>801</v>
      </c>
      <c r="K10" s="2">
        <f t="shared" ca="1" si="1"/>
        <v>19</v>
      </c>
      <c r="L10" s="2">
        <f t="shared" ca="1" si="0"/>
        <v>552</v>
      </c>
      <c r="M10" s="2">
        <f t="shared" ca="1" si="0"/>
        <v>715</v>
      </c>
      <c r="N10" s="2">
        <f t="shared" ca="1" si="0"/>
        <v>583</v>
      </c>
      <c r="O10" s="2">
        <f t="shared" ca="1" si="0"/>
        <v>786</v>
      </c>
      <c r="P10" s="2">
        <f t="shared" ca="1" si="0"/>
        <v>51</v>
      </c>
      <c r="Q10" s="2">
        <f t="shared" ca="1" si="0"/>
        <v>541</v>
      </c>
      <c r="R10" s="2">
        <f t="shared" ca="1" si="0"/>
        <v>500</v>
      </c>
      <c r="S10" s="2">
        <f t="shared" ca="1" si="0"/>
        <v>253</v>
      </c>
      <c r="T10" s="2">
        <f t="shared" ca="1" si="0"/>
        <v>142</v>
      </c>
      <c r="U10" s="2">
        <f t="shared" ca="1" si="0"/>
        <v>881</v>
      </c>
      <c r="V10" s="6" t="s">
        <v>25</v>
      </c>
    </row>
    <row r="11" spans="1:22" x14ac:dyDescent="0.2">
      <c r="A11" t="s">
        <v>9</v>
      </c>
      <c r="B11" s="2">
        <f t="shared" ca="1" si="1"/>
        <v>694.48529052734375</v>
      </c>
      <c r="C11" s="2">
        <f t="shared" ca="1" si="1"/>
        <v>212</v>
      </c>
      <c r="D11" s="2">
        <f t="shared" ca="1" si="1"/>
        <v>692</v>
      </c>
      <c r="E11" s="2">
        <f t="shared" ca="1" si="1"/>
        <v>389</v>
      </c>
      <c r="F11" s="2">
        <f t="shared" ca="1" si="1"/>
        <v>788</v>
      </c>
      <c r="G11" s="2">
        <f t="shared" ca="1" si="1"/>
        <v>297</v>
      </c>
      <c r="H11" s="2">
        <f t="shared" ca="1" si="1"/>
        <v>393</v>
      </c>
      <c r="I11" s="2">
        <f t="shared" ca="1" si="1"/>
        <v>532</v>
      </c>
      <c r="J11" s="2">
        <f t="shared" ca="1" si="1"/>
        <v>633</v>
      </c>
      <c r="K11" s="2">
        <f t="shared" ca="1" si="1"/>
        <v>17</v>
      </c>
      <c r="L11" s="2">
        <f t="shared" ca="1" si="0"/>
        <v>659</v>
      </c>
      <c r="M11" s="2">
        <f t="shared" ca="1" si="0"/>
        <v>732</v>
      </c>
      <c r="N11" s="2">
        <f t="shared" ca="1" si="0"/>
        <v>602</v>
      </c>
      <c r="O11" s="2">
        <f t="shared" ca="1" si="0"/>
        <v>463</v>
      </c>
      <c r="P11" s="2">
        <f t="shared" ca="1" si="0"/>
        <v>83</v>
      </c>
      <c r="Q11" s="2">
        <f t="shared" ca="1" si="0"/>
        <v>29</v>
      </c>
      <c r="R11" s="2">
        <f t="shared" ca="1" si="0"/>
        <v>974</v>
      </c>
      <c r="S11" s="2">
        <f t="shared" ca="1" si="0"/>
        <v>171</v>
      </c>
      <c r="T11" s="2">
        <f t="shared" ca="1" si="0"/>
        <v>877</v>
      </c>
      <c r="U11" s="2">
        <f t="shared" ca="1" si="0"/>
        <v>599</v>
      </c>
      <c r="V11" s="6" t="s">
        <v>26</v>
      </c>
    </row>
    <row r="12" spans="1:22" x14ac:dyDescent="0.2">
      <c r="A12" t="s">
        <v>10</v>
      </c>
      <c r="B12" s="2">
        <f t="shared" ca="1" si="1"/>
        <v>913.71759033203125</v>
      </c>
      <c r="C12" s="2">
        <f t="shared" ca="1" si="1"/>
        <v>178</v>
      </c>
      <c r="D12" s="2">
        <f t="shared" ca="1" si="1"/>
        <v>279</v>
      </c>
      <c r="E12" s="2">
        <f t="shared" ca="1" si="1"/>
        <v>215</v>
      </c>
      <c r="F12" s="2">
        <f t="shared" ca="1" si="1"/>
        <v>364</v>
      </c>
      <c r="G12" s="2">
        <f t="shared" ca="1" si="1"/>
        <v>585</v>
      </c>
      <c r="H12" s="2">
        <f t="shared" ca="1" si="1"/>
        <v>663</v>
      </c>
      <c r="I12" s="2">
        <f t="shared" ca="1" si="1"/>
        <v>214</v>
      </c>
      <c r="J12" s="2">
        <f t="shared" ca="1" si="1"/>
        <v>144</v>
      </c>
      <c r="K12" s="2">
        <f t="shared" ca="1" si="1"/>
        <v>889</v>
      </c>
      <c r="L12" s="2">
        <f t="shared" ca="1" si="0"/>
        <v>616</v>
      </c>
      <c r="M12" s="2">
        <f t="shared" ca="1" si="0"/>
        <v>996</v>
      </c>
      <c r="N12" s="2">
        <f t="shared" ca="1" si="0"/>
        <v>660</v>
      </c>
      <c r="O12" s="2">
        <f t="shared" ca="1" si="0"/>
        <v>300</v>
      </c>
      <c r="P12" s="2">
        <f t="shared" ca="1" si="0"/>
        <v>492</v>
      </c>
      <c r="Q12" s="2">
        <f t="shared" ca="1" si="0"/>
        <v>586</v>
      </c>
      <c r="R12" s="2">
        <f t="shared" ca="1" si="0"/>
        <v>385</v>
      </c>
      <c r="S12" s="2">
        <f t="shared" ca="1" si="0"/>
        <v>579</v>
      </c>
      <c r="T12" s="2">
        <f t="shared" ca="1" si="0"/>
        <v>904</v>
      </c>
      <c r="U12" s="2">
        <f t="shared" ca="1" si="0"/>
        <v>179</v>
      </c>
      <c r="V12" s="6" t="s">
        <v>27</v>
      </c>
    </row>
    <row r="13" spans="1:22" s="4" customFormat="1" x14ac:dyDescent="0.2">
      <c r="A13" s="4" t="s">
        <v>11</v>
      </c>
      <c r="B13" s="5">
        <f t="shared" ca="1" si="1"/>
        <v>834.81719970703125</v>
      </c>
      <c r="C13" s="5">
        <f t="shared" ca="1" si="1"/>
        <v>236</v>
      </c>
      <c r="D13" s="5">
        <f t="shared" ca="1" si="1"/>
        <v>563</v>
      </c>
      <c r="E13" s="5">
        <f t="shared" ca="1" si="1"/>
        <v>432</v>
      </c>
      <c r="F13" s="5">
        <f t="shared" ca="1" si="1"/>
        <v>304</v>
      </c>
      <c r="G13" s="5">
        <f t="shared" ca="1" si="1"/>
        <v>883</v>
      </c>
      <c r="H13" s="5">
        <f t="shared" ca="1" si="1"/>
        <v>365</v>
      </c>
      <c r="I13" s="5">
        <f t="shared" ca="1" si="1"/>
        <v>208</v>
      </c>
      <c r="J13" s="5">
        <f t="shared" ca="1" si="1"/>
        <v>942</v>
      </c>
      <c r="K13" s="5">
        <f t="shared" ca="1" si="1"/>
        <v>951</v>
      </c>
      <c r="L13" s="5">
        <f t="shared" ca="1" si="0"/>
        <v>19</v>
      </c>
      <c r="M13" s="5">
        <f t="shared" ca="1" si="0"/>
        <v>644</v>
      </c>
      <c r="N13" s="5">
        <f t="shared" ca="1" si="0"/>
        <v>366</v>
      </c>
      <c r="O13" s="5">
        <f t="shared" ca="1" si="0"/>
        <v>229</v>
      </c>
      <c r="P13" s="5">
        <f t="shared" ca="1" si="0"/>
        <v>331</v>
      </c>
      <c r="Q13" s="5">
        <f t="shared" ca="1" si="0"/>
        <v>977</v>
      </c>
      <c r="R13" s="5">
        <f t="shared" ca="1" si="0"/>
        <v>975</v>
      </c>
      <c r="S13" s="5">
        <f t="shared" ca="1" si="0"/>
        <v>372</v>
      </c>
      <c r="T13" s="5">
        <f t="shared" ca="1" si="0"/>
        <v>402</v>
      </c>
      <c r="U13" s="5">
        <f t="shared" ca="1" si="0"/>
        <v>305</v>
      </c>
      <c r="V13" s="7" t="s">
        <v>28</v>
      </c>
    </row>
    <row r="14" spans="1:22" x14ac:dyDescent="0.2">
      <c r="A14" s="1" t="s">
        <v>12</v>
      </c>
      <c r="B14" s="3">
        <f ca="1">SUM(B2:B13)</f>
        <v>7163.0317153930664</v>
      </c>
      <c r="C14" s="3">
        <f t="shared" ref="C14:K14" ca="1" si="2">SUM(C2:C13)</f>
        <v>3779</v>
      </c>
      <c r="D14" s="3">
        <f t="shared" ca="1" si="2"/>
        <v>6347</v>
      </c>
      <c r="E14" s="3">
        <f t="shared" ca="1" si="2"/>
        <v>7531</v>
      </c>
      <c r="F14" s="3">
        <f t="shared" ca="1" si="2"/>
        <v>5432</v>
      </c>
      <c r="G14" s="3">
        <f t="shared" ca="1" si="2"/>
        <v>6292</v>
      </c>
      <c r="H14" s="3">
        <f t="shared" ca="1" si="2"/>
        <v>8183</v>
      </c>
      <c r="I14" s="3">
        <f t="shared" ca="1" si="2"/>
        <v>5533</v>
      </c>
      <c r="J14" s="3">
        <f t="shared" ca="1" si="2"/>
        <v>5049</v>
      </c>
      <c r="K14" s="3">
        <f t="shared" ca="1" si="2"/>
        <v>6748</v>
      </c>
      <c r="L14" s="3">
        <f t="shared" ref="L14:U14" ca="1" si="3">SUM(L2:L13)</f>
        <v>4747</v>
      </c>
      <c r="M14" s="3">
        <f t="shared" ca="1" si="3"/>
        <v>6531</v>
      </c>
      <c r="N14" s="3">
        <f t="shared" ca="1" si="3"/>
        <v>6733</v>
      </c>
      <c r="O14" s="3">
        <f t="shared" ca="1" si="3"/>
        <v>5346</v>
      </c>
      <c r="P14" s="3">
        <f t="shared" ca="1" si="3"/>
        <v>4962</v>
      </c>
      <c r="Q14" s="3">
        <f t="shared" ca="1" si="3"/>
        <v>6524</v>
      </c>
      <c r="R14" s="3">
        <f t="shared" ca="1" si="3"/>
        <v>6476</v>
      </c>
      <c r="S14" s="3">
        <f t="shared" ca="1" si="3"/>
        <v>5473</v>
      </c>
      <c r="T14" s="3">
        <f t="shared" ca="1" si="3"/>
        <v>6106</v>
      </c>
      <c r="U14" s="3">
        <f t="shared" ca="1" si="3"/>
        <v>6818</v>
      </c>
    </row>
    <row r="15" spans="1:22" s="9" customFormat="1" x14ac:dyDescent="0.2">
      <c r="A15" s="8" t="s">
        <v>47</v>
      </c>
      <c r="B15" s="10">
        <f ca="1">SUM(INDIRECT("'"&amp;B$1&amp;"'!"&amp;"B2:B13"))</f>
        <v>7163.0317153930664</v>
      </c>
      <c r="C15" s="10">
        <f t="shared" ref="C15:U15" ca="1" si="4">SUM(INDIRECT("'"&amp;C$1&amp;"'!"&amp;"B2:B13"))</f>
        <v>3779</v>
      </c>
      <c r="D15" s="10">
        <f t="shared" ca="1" si="4"/>
        <v>6347</v>
      </c>
      <c r="E15" s="10">
        <f t="shared" ca="1" si="4"/>
        <v>7531</v>
      </c>
      <c r="F15" s="10">
        <f t="shared" ca="1" si="4"/>
        <v>5432</v>
      </c>
      <c r="G15" s="10">
        <f t="shared" ca="1" si="4"/>
        <v>6292</v>
      </c>
      <c r="H15" s="10">
        <f t="shared" ca="1" si="4"/>
        <v>8183</v>
      </c>
      <c r="I15" s="10">
        <f t="shared" ca="1" si="4"/>
        <v>5533</v>
      </c>
      <c r="J15" s="10">
        <f t="shared" ca="1" si="4"/>
        <v>5049</v>
      </c>
      <c r="K15" s="10">
        <f t="shared" ca="1" si="4"/>
        <v>6748</v>
      </c>
      <c r="L15" s="10">
        <f t="shared" ca="1" si="4"/>
        <v>4747</v>
      </c>
      <c r="M15" s="10">
        <f t="shared" ca="1" si="4"/>
        <v>6531</v>
      </c>
      <c r="N15" s="10">
        <f t="shared" ca="1" si="4"/>
        <v>6733</v>
      </c>
      <c r="O15" s="10">
        <f t="shared" ca="1" si="4"/>
        <v>5346</v>
      </c>
      <c r="P15" s="10">
        <f t="shared" ca="1" si="4"/>
        <v>4962</v>
      </c>
      <c r="Q15" s="10">
        <f t="shared" ca="1" si="4"/>
        <v>6524</v>
      </c>
      <c r="R15" s="10">
        <f t="shared" ca="1" si="4"/>
        <v>6476</v>
      </c>
      <c r="S15" s="10">
        <f t="shared" ca="1" si="4"/>
        <v>5473</v>
      </c>
      <c r="T15" s="10">
        <f t="shared" ca="1" si="4"/>
        <v>6106</v>
      </c>
      <c r="U15" s="10">
        <f t="shared" ca="1" si="4"/>
        <v>6818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B13"/>
  <sheetViews>
    <sheetView workbookViewId="0">
      <selection activeCell="B13" sqref="B13"/>
    </sheetView>
  </sheetViews>
  <sheetFormatPr baseColWidth="10" defaultColWidth="8.83203125" defaultRowHeight="15" x14ac:dyDescent="0.2"/>
  <sheetData>
    <row r="1" spans="1:2" x14ac:dyDescent="0.2">
      <c r="A1" t="s">
        <v>45</v>
      </c>
      <c r="B1" t="s">
        <v>46</v>
      </c>
    </row>
    <row r="2" spans="1:2" x14ac:dyDescent="0.2">
      <c r="A2" t="s">
        <v>0</v>
      </c>
      <c r="B2">
        <v>785.21221923828125</v>
      </c>
    </row>
    <row r="3" spans="1:2" x14ac:dyDescent="0.2">
      <c r="A3" t="s">
        <v>1</v>
      </c>
      <c r="B3">
        <v>378.90255737304688</v>
      </c>
    </row>
    <row r="4" spans="1:2" x14ac:dyDescent="0.2">
      <c r="A4" t="s">
        <v>2</v>
      </c>
      <c r="B4">
        <v>289.6650390625</v>
      </c>
    </row>
    <row r="5" spans="1:2" x14ac:dyDescent="0.2">
      <c r="A5" t="s">
        <v>3</v>
      </c>
      <c r="B5">
        <v>919.3770751953125</v>
      </c>
    </row>
    <row r="6" spans="1:2" x14ac:dyDescent="0.2">
      <c r="A6" t="s">
        <v>4</v>
      </c>
      <c r="B6">
        <v>631.742431640625</v>
      </c>
    </row>
    <row r="7" spans="1:2" x14ac:dyDescent="0.2">
      <c r="A7" t="s">
        <v>5</v>
      </c>
      <c r="B7">
        <v>627.64202880859375</v>
      </c>
    </row>
    <row r="8" spans="1:2" x14ac:dyDescent="0.2">
      <c r="A8" t="s">
        <v>6</v>
      </c>
      <c r="B8">
        <v>428.45635986328125</v>
      </c>
    </row>
    <row r="9" spans="1:2" x14ac:dyDescent="0.2">
      <c r="A9" t="s">
        <v>7</v>
      </c>
      <c r="B9">
        <v>97.973823547363281</v>
      </c>
    </row>
    <row r="10" spans="1:2" x14ac:dyDescent="0.2">
      <c r="A10" t="s">
        <v>8</v>
      </c>
      <c r="B10">
        <v>561.04010009765625</v>
      </c>
    </row>
    <row r="11" spans="1:2" x14ac:dyDescent="0.2">
      <c r="A11" t="s">
        <v>9</v>
      </c>
      <c r="B11">
        <v>694.48529052734375</v>
      </c>
    </row>
    <row r="12" spans="1:2" x14ac:dyDescent="0.2">
      <c r="A12" t="s">
        <v>10</v>
      </c>
      <c r="B12">
        <v>913.71759033203125</v>
      </c>
    </row>
    <row r="13" spans="1:2" x14ac:dyDescent="0.2">
      <c r="A13" t="s">
        <v>11</v>
      </c>
      <c r="B13">
        <v>834.81719970703125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13"/>
  <sheetViews>
    <sheetView workbookViewId="0">
      <selection activeCell="B27" sqref="A1:B27"/>
    </sheetView>
  </sheetViews>
  <sheetFormatPr baseColWidth="10" defaultColWidth="8.83203125" defaultRowHeight="15" x14ac:dyDescent="0.2"/>
  <sheetData>
    <row r="1" spans="1:2" x14ac:dyDescent="0.2">
      <c r="A1" t="s">
        <v>45</v>
      </c>
      <c r="B1" t="s">
        <v>46</v>
      </c>
    </row>
    <row r="2" spans="1:2" x14ac:dyDescent="0.2">
      <c r="A2" t="s">
        <v>78</v>
      </c>
      <c r="B2">
        <v>29</v>
      </c>
    </row>
    <row r="3" spans="1:2" x14ac:dyDescent="0.2">
      <c r="A3" t="s">
        <v>79</v>
      </c>
      <c r="B3">
        <v>162</v>
      </c>
    </row>
    <row r="4" spans="1:2" x14ac:dyDescent="0.2">
      <c r="A4" t="s">
        <v>80</v>
      </c>
      <c r="B4">
        <v>256</v>
      </c>
    </row>
    <row r="5" spans="1:2" x14ac:dyDescent="0.2">
      <c r="A5" t="s">
        <v>81</v>
      </c>
      <c r="B5">
        <v>288</v>
      </c>
    </row>
    <row r="6" spans="1:2" x14ac:dyDescent="0.2">
      <c r="A6" t="s">
        <v>82</v>
      </c>
      <c r="B6">
        <v>197</v>
      </c>
    </row>
    <row r="7" spans="1:2" x14ac:dyDescent="0.2">
      <c r="A7" t="s">
        <v>83</v>
      </c>
      <c r="B7">
        <v>559</v>
      </c>
    </row>
    <row r="8" spans="1:2" x14ac:dyDescent="0.2">
      <c r="A8" t="s">
        <v>84</v>
      </c>
      <c r="B8">
        <v>54</v>
      </c>
    </row>
    <row r="9" spans="1:2" x14ac:dyDescent="0.2">
      <c r="A9" t="s">
        <v>85</v>
      </c>
      <c r="B9">
        <v>964</v>
      </c>
    </row>
    <row r="10" spans="1:2" x14ac:dyDescent="0.2">
      <c r="A10" t="s">
        <v>86</v>
      </c>
      <c r="B10">
        <v>644</v>
      </c>
    </row>
    <row r="11" spans="1:2" x14ac:dyDescent="0.2">
      <c r="A11" t="s">
        <v>87</v>
      </c>
      <c r="B11">
        <v>212</v>
      </c>
    </row>
    <row r="12" spans="1:2" x14ac:dyDescent="0.2">
      <c r="A12" t="s">
        <v>88</v>
      </c>
      <c r="B12">
        <v>178</v>
      </c>
    </row>
    <row r="13" spans="1:2" x14ac:dyDescent="0.2">
      <c r="A13" t="s">
        <v>89</v>
      </c>
      <c r="B13">
        <v>236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B13"/>
  <sheetViews>
    <sheetView workbookViewId="0"/>
  </sheetViews>
  <sheetFormatPr baseColWidth="10" defaultColWidth="8.83203125" defaultRowHeight="15" x14ac:dyDescent="0.2"/>
  <sheetData>
    <row r="1" spans="1:2" x14ac:dyDescent="0.2">
      <c r="A1" t="s">
        <v>45</v>
      </c>
      <c r="B1" t="s">
        <v>46</v>
      </c>
    </row>
    <row r="2" spans="1:2" x14ac:dyDescent="0.2">
      <c r="A2" t="s">
        <v>78</v>
      </c>
      <c r="B2">
        <v>943</v>
      </c>
    </row>
    <row r="3" spans="1:2" x14ac:dyDescent="0.2">
      <c r="A3" t="s">
        <v>79</v>
      </c>
      <c r="B3">
        <v>728</v>
      </c>
    </row>
    <row r="4" spans="1:2" x14ac:dyDescent="0.2">
      <c r="A4" t="s">
        <v>80</v>
      </c>
      <c r="B4">
        <v>939</v>
      </c>
    </row>
    <row r="5" spans="1:2" x14ac:dyDescent="0.2">
      <c r="A5" t="s">
        <v>81</v>
      </c>
      <c r="B5">
        <v>509</v>
      </c>
    </row>
    <row r="6" spans="1:2" x14ac:dyDescent="0.2">
      <c r="A6" t="s">
        <v>82</v>
      </c>
      <c r="B6">
        <v>298</v>
      </c>
    </row>
    <row r="7" spans="1:2" x14ac:dyDescent="0.2">
      <c r="A7" t="s">
        <v>83</v>
      </c>
      <c r="B7">
        <v>445</v>
      </c>
    </row>
    <row r="8" spans="1:2" x14ac:dyDescent="0.2">
      <c r="A8" t="s">
        <v>84</v>
      </c>
      <c r="B8">
        <v>434</v>
      </c>
    </row>
    <row r="9" spans="1:2" x14ac:dyDescent="0.2">
      <c r="A9" t="s">
        <v>85</v>
      </c>
      <c r="B9">
        <v>503</v>
      </c>
    </row>
    <row r="10" spans="1:2" x14ac:dyDescent="0.2">
      <c r="A10" t="s">
        <v>86</v>
      </c>
      <c r="B10">
        <v>14</v>
      </c>
    </row>
    <row r="11" spans="1:2" x14ac:dyDescent="0.2">
      <c r="A11" t="s">
        <v>87</v>
      </c>
      <c r="B11">
        <v>692</v>
      </c>
    </row>
    <row r="12" spans="1:2" x14ac:dyDescent="0.2">
      <c r="A12" t="s">
        <v>88</v>
      </c>
      <c r="B12">
        <v>279</v>
      </c>
    </row>
    <row r="13" spans="1:2" x14ac:dyDescent="0.2">
      <c r="A13" t="s">
        <v>89</v>
      </c>
      <c r="B13">
        <v>563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/>
  <dimension ref="A1:B13"/>
  <sheetViews>
    <sheetView workbookViewId="0">
      <selection sqref="A1:XFD1048576"/>
    </sheetView>
  </sheetViews>
  <sheetFormatPr baseColWidth="10" defaultColWidth="8.83203125" defaultRowHeight="15" x14ac:dyDescent="0.2"/>
  <sheetData>
    <row r="1" spans="1:2" x14ac:dyDescent="0.2">
      <c r="A1" t="s">
        <v>45</v>
      </c>
      <c r="B1" t="s">
        <v>46</v>
      </c>
    </row>
    <row r="2" spans="1:2" x14ac:dyDescent="0.2">
      <c r="A2" t="s">
        <v>78</v>
      </c>
      <c r="B2">
        <v>551</v>
      </c>
    </row>
    <row r="3" spans="1:2" x14ac:dyDescent="0.2">
      <c r="A3" t="s">
        <v>79</v>
      </c>
      <c r="B3">
        <v>941</v>
      </c>
    </row>
    <row r="4" spans="1:2" x14ac:dyDescent="0.2">
      <c r="A4" t="s">
        <v>80</v>
      </c>
      <c r="B4">
        <v>761</v>
      </c>
    </row>
    <row r="5" spans="1:2" x14ac:dyDescent="0.2">
      <c r="A5" t="s">
        <v>81</v>
      </c>
      <c r="B5">
        <v>583</v>
      </c>
    </row>
    <row r="6" spans="1:2" x14ac:dyDescent="0.2">
      <c r="A6" t="s">
        <v>82</v>
      </c>
      <c r="B6">
        <v>940</v>
      </c>
    </row>
    <row r="7" spans="1:2" x14ac:dyDescent="0.2">
      <c r="A7" t="s">
        <v>83</v>
      </c>
      <c r="B7">
        <v>542</v>
      </c>
    </row>
    <row r="8" spans="1:2" x14ac:dyDescent="0.2">
      <c r="A8" t="s">
        <v>84</v>
      </c>
      <c r="B8">
        <v>821</v>
      </c>
    </row>
    <row r="9" spans="1:2" x14ac:dyDescent="0.2">
      <c r="A9" t="s">
        <v>85</v>
      </c>
      <c r="B9">
        <v>479</v>
      </c>
    </row>
    <row r="10" spans="1:2" x14ac:dyDescent="0.2">
      <c r="A10" t="s">
        <v>86</v>
      </c>
      <c r="B10">
        <v>877</v>
      </c>
    </row>
    <row r="11" spans="1:2" x14ac:dyDescent="0.2">
      <c r="A11" t="s">
        <v>87</v>
      </c>
      <c r="B11">
        <v>389</v>
      </c>
    </row>
    <row r="12" spans="1:2" x14ac:dyDescent="0.2">
      <c r="A12" t="s">
        <v>88</v>
      </c>
      <c r="B12">
        <v>215</v>
      </c>
    </row>
    <row r="13" spans="1:2" x14ac:dyDescent="0.2">
      <c r="A13" t="s">
        <v>89</v>
      </c>
      <c r="B13">
        <v>432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B13"/>
  <sheetViews>
    <sheetView workbookViewId="0">
      <selection sqref="A1:XFD1048576"/>
    </sheetView>
  </sheetViews>
  <sheetFormatPr baseColWidth="10" defaultColWidth="8.83203125" defaultRowHeight="15" x14ac:dyDescent="0.2"/>
  <sheetData>
    <row r="1" spans="1:2" x14ac:dyDescent="0.2">
      <c r="A1" t="s">
        <v>45</v>
      </c>
      <c r="B1" t="s">
        <v>46</v>
      </c>
    </row>
    <row r="2" spans="1:2" x14ac:dyDescent="0.2">
      <c r="A2" t="s">
        <v>78</v>
      </c>
      <c r="B2">
        <v>703</v>
      </c>
    </row>
    <row r="3" spans="1:2" x14ac:dyDescent="0.2">
      <c r="A3" t="s">
        <v>79</v>
      </c>
      <c r="B3">
        <v>169</v>
      </c>
    </row>
    <row r="4" spans="1:2" x14ac:dyDescent="0.2">
      <c r="A4" t="s">
        <v>80</v>
      </c>
      <c r="B4">
        <v>678</v>
      </c>
    </row>
    <row r="5" spans="1:2" x14ac:dyDescent="0.2">
      <c r="A5" t="s">
        <v>81</v>
      </c>
      <c r="B5">
        <v>717</v>
      </c>
    </row>
    <row r="6" spans="1:2" x14ac:dyDescent="0.2">
      <c r="A6" t="s">
        <v>82</v>
      </c>
      <c r="B6">
        <v>933</v>
      </c>
    </row>
    <row r="7" spans="1:2" x14ac:dyDescent="0.2">
      <c r="A7" t="s">
        <v>83</v>
      </c>
      <c r="B7">
        <v>83</v>
      </c>
    </row>
    <row r="8" spans="1:2" x14ac:dyDescent="0.2">
      <c r="A8" t="s">
        <v>84</v>
      </c>
      <c r="B8">
        <v>579</v>
      </c>
    </row>
    <row r="9" spans="1:2" x14ac:dyDescent="0.2">
      <c r="A9" t="s">
        <v>85</v>
      </c>
      <c r="B9">
        <v>106</v>
      </c>
    </row>
    <row r="10" spans="1:2" x14ac:dyDescent="0.2">
      <c r="A10" t="s">
        <v>86</v>
      </c>
      <c r="B10">
        <v>8</v>
      </c>
    </row>
    <row r="11" spans="1:2" x14ac:dyDescent="0.2">
      <c r="A11" t="s">
        <v>87</v>
      </c>
      <c r="B11">
        <v>788</v>
      </c>
    </row>
    <row r="12" spans="1:2" x14ac:dyDescent="0.2">
      <c r="A12" t="s">
        <v>88</v>
      </c>
      <c r="B12">
        <v>364</v>
      </c>
    </row>
    <row r="13" spans="1:2" x14ac:dyDescent="0.2">
      <c r="A13" t="s">
        <v>89</v>
      </c>
      <c r="B13">
        <v>304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/>
  <dimension ref="A1:B13"/>
  <sheetViews>
    <sheetView workbookViewId="0">
      <selection activeCell="C6" sqref="C6"/>
    </sheetView>
  </sheetViews>
  <sheetFormatPr baseColWidth="10" defaultColWidth="8.83203125" defaultRowHeight="15" x14ac:dyDescent="0.2"/>
  <sheetData>
    <row r="1" spans="1:2" x14ac:dyDescent="0.2">
      <c r="A1" t="s">
        <v>45</v>
      </c>
      <c r="B1" t="s">
        <v>46</v>
      </c>
    </row>
    <row r="2" spans="1:2" x14ac:dyDescent="0.2">
      <c r="A2" t="s">
        <v>78</v>
      </c>
      <c r="B2">
        <v>645</v>
      </c>
    </row>
    <row r="3" spans="1:2" x14ac:dyDescent="0.2">
      <c r="A3" t="s">
        <v>79</v>
      </c>
      <c r="B3">
        <v>939</v>
      </c>
    </row>
    <row r="4" spans="1:2" x14ac:dyDescent="0.2">
      <c r="A4" t="s">
        <v>80</v>
      </c>
      <c r="B4">
        <v>104</v>
      </c>
    </row>
    <row r="5" spans="1:2" x14ac:dyDescent="0.2">
      <c r="A5" t="s">
        <v>81</v>
      </c>
      <c r="B5">
        <v>906</v>
      </c>
    </row>
    <row r="6" spans="1:2" x14ac:dyDescent="0.2">
      <c r="A6" t="s">
        <v>82</v>
      </c>
      <c r="B6">
        <v>397</v>
      </c>
    </row>
    <row r="7" spans="1:2" x14ac:dyDescent="0.2">
      <c r="A7" t="s">
        <v>83</v>
      </c>
      <c r="B7">
        <v>72</v>
      </c>
    </row>
    <row r="8" spans="1:2" x14ac:dyDescent="0.2">
      <c r="A8" t="s">
        <v>84</v>
      </c>
      <c r="B8">
        <v>642</v>
      </c>
    </row>
    <row r="9" spans="1:2" x14ac:dyDescent="0.2">
      <c r="A9" t="s">
        <v>85</v>
      </c>
      <c r="B9">
        <v>562</v>
      </c>
    </row>
    <row r="10" spans="1:2" x14ac:dyDescent="0.2">
      <c r="A10" t="s">
        <v>86</v>
      </c>
      <c r="B10">
        <v>260</v>
      </c>
    </row>
    <row r="11" spans="1:2" x14ac:dyDescent="0.2">
      <c r="A11" t="s">
        <v>87</v>
      </c>
      <c r="B11">
        <v>297</v>
      </c>
    </row>
    <row r="12" spans="1:2" x14ac:dyDescent="0.2">
      <c r="A12" t="s">
        <v>88</v>
      </c>
      <c r="B12">
        <v>585</v>
      </c>
    </row>
    <row r="13" spans="1:2" x14ac:dyDescent="0.2">
      <c r="A13" t="s">
        <v>89</v>
      </c>
      <c r="B13">
        <v>883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7"/>
  <dimension ref="A1:B13"/>
  <sheetViews>
    <sheetView workbookViewId="0">
      <selection sqref="A1:XFD1048576"/>
    </sheetView>
  </sheetViews>
  <sheetFormatPr baseColWidth="10" defaultColWidth="8.83203125" defaultRowHeight="15" x14ac:dyDescent="0.2"/>
  <sheetData>
    <row r="1" spans="1:2" x14ac:dyDescent="0.2">
      <c r="A1" t="s">
        <v>45</v>
      </c>
      <c r="B1" t="s">
        <v>46</v>
      </c>
    </row>
    <row r="2" spans="1:2" x14ac:dyDescent="0.2">
      <c r="A2" t="s">
        <v>78</v>
      </c>
      <c r="B2">
        <v>985</v>
      </c>
    </row>
    <row r="3" spans="1:2" x14ac:dyDescent="0.2">
      <c r="A3" t="s">
        <v>79</v>
      </c>
      <c r="B3">
        <v>739</v>
      </c>
    </row>
    <row r="4" spans="1:2" x14ac:dyDescent="0.2">
      <c r="A4" t="s">
        <v>80</v>
      </c>
      <c r="B4">
        <v>892</v>
      </c>
    </row>
    <row r="5" spans="1:2" x14ac:dyDescent="0.2">
      <c r="A5" t="s">
        <v>81</v>
      </c>
      <c r="B5">
        <v>826</v>
      </c>
    </row>
    <row r="6" spans="1:2" x14ac:dyDescent="0.2">
      <c r="A6" t="s">
        <v>82</v>
      </c>
      <c r="B6">
        <v>617</v>
      </c>
    </row>
    <row r="7" spans="1:2" x14ac:dyDescent="0.2">
      <c r="A7" t="s">
        <v>83</v>
      </c>
      <c r="B7">
        <v>693</v>
      </c>
    </row>
    <row r="8" spans="1:2" x14ac:dyDescent="0.2">
      <c r="A8" t="s">
        <v>84</v>
      </c>
      <c r="B8">
        <v>731</v>
      </c>
    </row>
    <row r="9" spans="1:2" x14ac:dyDescent="0.2">
      <c r="A9" t="s">
        <v>85</v>
      </c>
      <c r="B9">
        <v>634</v>
      </c>
    </row>
    <row r="10" spans="1:2" x14ac:dyDescent="0.2">
      <c r="A10" t="s">
        <v>86</v>
      </c>
      <c r="B10">
        <v>645</v>
      </c>
    </row>
    <row r="11" spans="1:2" x14ac:dyDescent="0.2">
      <c r="A11" t="s">
        <v>87</v>
      </c>
      <c r="B11">
        <v>393</v>
      </c>
    </row>
    <row r="12" spans="1:2" x14ac:dyDescent="0.2">
      <c r="A12" t="s">
        <v>88</v>
      </c>
      <c r="B12">
        <v>663</v>
      </c>
    </row>
    <row r="13" spans="1:2" x14ac:dyDescent="0.2">
      <c r="A13" t="s">
        <v>89</v>
      </c>
      <c r="B13">
        <v>365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8"/>
  <dimension ref="A1:B13"/>
  <sheetViews>
    <sheetView workbookViewId="0">
      <selection sqref="A1:XFD1048576"/>
    </sheetView>
  </sheetViews>
  <sheetFormatPr baseColWidth="10" defaultColWidth="8.83203125" defaultRowHeight="15" x14ac:dyDescent="0.2"/>
  <sheetData>
    <row r="1" spans="1:2" x14ac:dyDescent="0.2">
      <c r="A1" t="s">
        <v>45</v>
      </c>
      <c r="B1" t="s">
        <v>46</v>
      </c>
    </row>
    <row r="2" spans="1:2" x14ac:dyDescent="0.2">
      <c r="A2" t="s">
        <v>78</v>
      </c>
      <c r="B2">
        <v>501</v>
      </c>
    </row>
    <row r="3" spans="1:2" x14ac:dyDescent="0.2">
      <c r="A3" t="s">
        <v>79</v>
      </c>
      <c r="B3">
        <v>747</v>
      </c>
    </row>
    <row r="4" spans="1:2" x14ac:dyDescent="0.2">
      <c r="A4" t="s">
        <v>80</v>
      </c>
      <c r="B4">
        <v>553</v>
      </c>
    </row>
    <row r="5" spans="1:2" x14ac:dyDescent="0.2">
      <c r="A5" t="s">
        <v>81</v>
      </c>
      <c r="B5">
        <v>747</v>
      </c>
    </row>
    <row r="6" spans="1:2" x14ac:dyDescent="0.2">
      <c r="A6" t="s">
        <v>82</v>
      </c>
      <c r="B6">
        <v>178</v>
      </c>
    </row>
    <row r="7" spans="1:2" x14ac:dyDescent="0.2">
      <c r="A7" t="s">
        <v>83</v>
      </c>
      <c r="B7">
        <v>96</v>
      </c>
    </row>
    <row r="8" spans="1:2" x14ac:dyDescent="0.2">
      <c r="A8" t="s">
        <v>84</v>
      </c>
      <c r="B8">
        <v>770</v>
      </c>
    </row>
    <row r="9" spans="1:2" x14ac:dyDescent="0.2">
      <c r="A9" t="s">
        <v>85</v>
      </c>
      <c r="B9">
        <v>737</v>
      </c>
    </row>
    <row r="10" spans="1:2" x14ac:dyDescent="0.2">
      <c r="A10" t="s">
        <v>86</v>
      </c>
      <c r="B10">
        <v>250</v>
      </c>
    </row>
    <row r="11" spans="1:2" x14ac:dyDescent="0.2">
      <c r="A11" t="s">
        <v>87</v>
      </c>
      <c r="B11">
        <v>532</v>
      </c>
    </row>
    <row r="12" spans="1:2" x14ac:dyDescent="0.2">
      <c r="A12" t="s">
        <v>88</v>
      </c>
      <c r="B12">
        <v>214</v>
      </c>
    </row>
    <row r="13" spans="1:2" x14ac:dyDescent="0.2">
      <c r="A13" t="s">
        <v>89</v>
      </c>
      <c r="B13">
        <v>208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9"/>
  <dimension ref="A1:B13"/>
  <sheetViews>
    <sheetView workbookViewId="0">
      <selection sqref="A1:XFD1048576"/>
    </sheetView>
  </sheetViews>
  <sheetFormatPr baseColWidth="10" defaultColWidth="8.83203125" defaultRowHeight="15" x14ac:dyDescent="0.2"/>
  <sheetData>
    <row r="1" spans="1:2" x14ac:dyDescent="0.2">
      <c r="A1" t="s">
        <v>45</v>
      </c>
      <c r="B1" t="s">
        <v>46</v>
      </c>
    </row>
    <row r="2" spans="1:2" x14ac:dyDescent="0.2">
      <c r="A2" t="s">
        <v>78</v>
      </c>
      <c r="B2">
        <v>17</v>
      </c>
    </row>
    <row r="3" spans="1:2" x14ac:dyDescent="0.2">
      <c r="A3" t="s">
        <v>79</v>
      </c>
      <c r="B3">
        <v>388</v>
      </c>
    </row>
    <row r="4" spans="1:2" x14ac:dyDescent="0.2">
      <c r="A4" t="s">
        <v>80</v>
      </c>
      <c r="B4">
        <v>740</v>
      </c>
    </row>
    <row r="5" spans="1:2" x14ac:dyDescent="0.2">
      <c r="A5" t="s">
        <v>81</v>
      </c>
      <c r="B5">
        <v>114</v>
      </c>
    </row>
    <row r="6" spans="1:2" x14ac:dyDescent="0.2">
      <c r="A6" t="s">
        <v>82</v>
      </c>
      <c r="B6">
        <v>119</v>
      </c>
    </row>
    <row r="7" spans="1:2" x14ac:dyDescent="0.2">
      <c r="A7" t="s">
        <v>83</v>
      </c>
      <c r="B7">
        <v>292</v>
      </c>
    </row>
    <row r="8" spans="1:2" x14ac:dyDescent="0.2">
      <c r="A8" t="s">
        <v>84</v>
      </c>
      <c r="B8">
        <v>835</v>
      </c>
    </row>
    <row r="9" spans="1:2" x14ac:dyDescent="0.2">
      <c r="A9" t="s">
        <v>85</v>
      </c>
      <c r="B9">
        <v>24</v>
      </c>
    </row>
    <row r="10" spans="1:2" x14ac:dyDescent="0.2">
      <c r="A10" t="s">
        <v>86</v>
      </c>
      <c r="B10">
        <v>801</v>
      </c>
    </row>
    <row r="11" spans="1:2" x14ac:dyDescent="0.2">
      <c r="A11" t="s">
        <v>87</v>
      </c>
      <c r="B11">
        <v>633</v>
      </c>
    </row>
    <row r="12" spans="1:2" x14ac:dyDescent="0.2">
      <c r="A12" t="s">
        <v>88</v>
      </c>
      <c r="B12">
        <v>144</v>
      </c>
    </row>
    <row r="13" spans="1:2" x14ac:dyDescent="0.2">
      <c r="A13" t="s">
        <v>89</v>
      </c>
      <c r="B13">
        <v>942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0"/>
  <dimension ref="A1:B13"/>
  <sheetViews>
    <sheetView workbookViewId="0">
      <selection sqref="A1:XFD1048576"/>
    </sheetView>
  </sheetViews>
  <sheetFormatPr baseColWidth="10" defaultColWidth="8.83203125" defaultRowHeight="15" x14ac:dyDescent="0.2"/>
  <sheetData>
    <row r="1" spans="1:2" x14ac:dyDescent="0.2">
      <c r="A1" t="s">
        <v>45</v>
      </c>
      <c r="B1" t="s">
        <v>46</v>
      </c>
    </row>
    <row r="2" spans="1:2" x14ac:dyDescent="0.2">
      <c r="A2" t="s">
        <v>78</v>
      </c>
      <c r="B2">
        <v>254</v>
      </c>
    </row>
    <row r="3" spans="1:2" x14ac:dyDescent="0.2">
      <c r="A3" t="s">
        <v>79</v>
      </c>
      <c r="B3">
        <v>352</v>
      </c>
    </row>
    <row r="4" spans="1:2" x14ac:dyDescent="0.2">
      <c r="A4" t="s">
        <v>80</v>
      </c>
      <c r="B4">
        <v>718</v>
      </c>
    </row>
    <row r="5" spans="1:2" x14ac:dyDescent="0.2">
      <c r="A5" t="s">
        <v>81</v>
      </c>
      <c r="B5">
        <v>732</v>
      </c>
    </row>
    <row r="6" spans="1:2" x14ac:dyDescent="0.2">
      <c r="A6" t="s">
        <v>82</v>
      </c>
      <c r="B6">
        <v>298</v>
      </c>
    </row>
    <row r="7" spans="1:2" x14ac:dyDescent="0.2">
      <c r="A7" t="s">
        <v>83</v>
      </c>
      <c r="B7">
        <v>699</v>
      </c>
    </row>
    <row r="8" spans="1:2" x14ac:dyDescent="0.2">
      <c r="A8" t="s">
        <v>84</v>
      </c>
      <c r="B8">
        <v>958</v>
      </c>
    </row>
    <row r="9" spans="1:2" x14ac:dyDescent="0.2">
      <c r="A9" t="s">
        <v>85</v>
      </c>
      <c r="B9">
        <v>861</v>
      </c>
    </row>
    <row r="10" spans="1:2" x14ac:dyDescent="0.2">
      <c r="A10" t="s">
        <v>86</v>
      </c>
      <c r="B10">
        <v>19</v>
      </c>
    </row>
    <row r="11" spans="1:2" x14ac:dyDescent="0.2">
      <c r="A11" t="s">
        <v>87</v>
      </c>
      <c r="B11">
        <v>17</v>
      </c>
    </row>
    <row r="12" spans="1:2" x14ac:dyDescent="0.2">
      <c r="A12" t="s">
        <v>88</v>
      </c>
      <c r="B12">
        <v>889</v>
      </c>
    </row>
    <row r="13" spans="1:2" x14ac:dyDescent="0.2">
      <c r="A13" t="s">
        <v>89</v>
      </c>
      <c r="B13">
        <v>951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"/>
  <dimension ref="A1:B13"/>
  <sheetViews>
    <sheetView workbookViewId="0">
      <selection sqref="A1:XFD1048576"/>
    </sheetView>
  </sheetViews>
  <sheetFormatPr baseColWidth="10" defaultColWidth="8.83203125" defaultRowHeight="15" x14ac:dyDescent="0.2"/>
  <sheetData>
    <row r="1" spans="1:2" x14ac:dyDescent="0.2">
      <c r="A1" t="s">
        <v>45</v>
      </c>
      <c r="B1" t="s">
        <v>46</v>
      </c>
    </row>
    <row r="2" spans="1:2" x14ac:dyDescent="0.2">
      <c r="A2" t="s">
        <v>78</v>
      </c>
      <c r="B2">
        <v>140</v>
      </c>
    </row>
    <row r="3" spans="1:2" x14ac:dyDescent="0.2">
      <c r="A3" t="s">
        <v>79</v>
      </c>
      <c r="B3">
        <v>422</v>
      </c>
    </row>
    <row r="4" spans="1:2" x14ac:dyDescent="0.2">
      <c r="A4" t="s">
        <v>80</v>
      </c>
      <c r="B4">
        <v>917</v>
      </c>
    </row>
    <row r="5" spans="1:2" x14ac:dyDescent="0.2">
      <c r="A5" t="s">
        <v>81</v>
      </c>
      <c r="B5">
        <v>735</v>
      </c>
    </row>
    <row r="6" spans="1:2" x14ac:dyDescent="0.2">
      <c r="A6" t="s">
        <v>82</v>
      </c>
      <c r="B6">
        <v>392</v>
      </c>
    </row>
    <row r="7" spans="1:2" x14ac:dyDescent="0.2">
      <c r="A7" t="s">
        <v>83</v>
      </c>
      <c r="B7">
        <v>39</v>
      </c>
    </row>
    <row r="8" spans="1:2" x14ac:dyDescent="0.2">
      <c r="A8" t="s">
        <v>84</v>
      </c>
      <c r="B8">
        <v>108</v>
      </c>
    </row>
    <row r="9" spans="1:2" x14ac:dyDescent="0.2">
      <c r="A9" t="s">
        <v>85</v>
      </c>
      <c r="B9">
        <v>148</v>
      </c>
    </row>
    <row r="10" spans="1:2" x14ac:dyDescent="0.2">
      <c r="A10" t="s">
        <v>86</v>
      </c>
      <c r="B10">
        <v>552</v>
      </c>
    </row>
    <row r="11" spans="1:2" x14ac:dyDescent="0.2">
      <c r="A11" t="s">
        <v>87</v>
      </c>
      <c r="B11">
        <v>659</v>
      </c>
    </row>
    <row r="12" spans="1:2" x14ac:dyDescent="0.2">
      <c r="A12" t="s">
        <v>88</v>
      </c>
      <c r="B12">
        <v>616</v>
      </c>
    </row>
    <row r="13" spans="1:2" x14ac:dyDescent="0.2">
      <c r="A13" t="s">
        <v>89</v>
      </c>
      <c r="B13">
        <v>19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5"/>
  <dimension ref="A1:B13"/>
  <sheetViews>
    <sheetView workbookViewId="0">
      <selection sqref="A1:XFD1048576"/>
    </sheetView>
  </sheetViews>
  <sheetFormatPr baseColWidth="10" defaultColWidth="8.83203125" defaultRowHeight="15" x14ac:dyDescent="0.2"/>
  <sheetData>
    <row r="1" spans="1:2" x14ac:dyDescent="0.2">
      <c r="A1" t="s">
        <v>45</v>
      </c>
      <c r="B1" t="s">
        <v>46</v>
      </c>
    </row>
    <row r="2" spans="1:2" x14ac:dyDescent="0.2">
      <c r="A2" t="s">
        <v>78</v>
      </c>
      <c r="B2">
        <v>135</v>
      </c>
    </row>
    <row r="3" spans="1:2" x14ac:dyDescent="0.2">
      <c r="A3" t="s">
        <v>79</v>
      </c>
      <c r="B3">
        <v>534</v>
      </c>
    </row>
    <row r="4" spans="1:2" x14ac:dyDescent="0.2">
      <c r="A4" t="s">
        <v>80</v>
      </c>
      <c r="B4">
        <v>90</v>
      </c>
    </row>
    <row r="5" spans="1:2" x14ac:dyDescent="0.2">
      <c r="A5" t="s">
        <v>81</v>
      </c>
      <c r="B5">
        <v>486</v>
      </c>
    </row>
    <row r="6" spans="1:2" x14ac:dyDescent="0.2">
      <c r="A6" t="s">
        <v>82</v>
      </c>
      <c r="B6">
        <v>870</v>
      </c>
    </row>
    <row r="7" spans="1:2" x14ac:dyDescent="0.2">
      <c r="A7" t="s">
        <v>83</v>
      </c>
      <c r="B7">
        <v>834</v>
      </c>
    </row>
    <row r="8" spans="1:2" x14ac:dyDescent="0.2">
      <c r="A8" t="s">
        <v>84</v>
      </c>
      <c r="B8">
        <v>109</v>
      </c>
    </row>
    <row r="9" spans="1:2" x14ac:dyDescent="0.2">
      <c r="A9" t="s">
        <v>85</v>
      </c>
      <c r="B9">
        <v>386</v>
      </c>
    </row>
    <row r="10" spans="1:2" x14ac:dyDescent="0.2">
      <c r="A10" t="s">
        <v>86</v>
      </c>
      <c r="B10">
        <v>715</v>
      </c>
    </row>
    <row r="11" spans="1:2" x14ac:dyDescent="0.2">
      <c r="A11" t="s">
        <v>87</v>
      </c>
      <c r="B11">
        <v>732</v>
      </c>
    </row>
    <row r="12" spans="1:2" x14ac:dyDescent="0.2">
      <c r="A12" t="s">
        <v>88</v>
      </c>
      <c r="B12">
        <v>996</v>
      </c>
    </row>
    <row r="13" spans="1:2" x14ac:dyDescent="0.2">
      <c r="A13" t="s">
        <v>89</v>
      </c>
      <c r="B13">
        <v>644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6"/>
  <dimension ref="A1:B13"/>
  <sheetViews>
    <sheetView workbookViewId="0">
      <selection sqref="A1:XFD1048576"/>
    </sheetView>
  </sheetViews>
  <sheetFormatPr baseColWidth="10" defaultColWidth="8.83203125" defaultRowHeight="15" x14ac:dyDescent="0.2"/>
  <sheetData>
    <row r="1" spans="1:2" x14ac:dyDescent="0.2">
      <c r="A1" t="s">
        <v>45</v>
      </c>
      <c r="B1" t="s">
        <v>46</v>
      </c>
    </row>
    <row r="2" spans="1:2" x14ac:dyDescent="0.2">
      <c r="A2" t="s">
        <v>78</v>
      </c>
      <c r="B2">
        <v>923</v>
      </c>
    </row>
    <row r="3" spans="1:2" x14ac:dyDescent="0.2">
      <c r="A3" t="s">
        <v>79</v>
      </c>
      <c r="B3">
        <v>90</v>
      </c>
    </row>
    <row r="4" spans="1:2" x14ac:dyDescent="0.2">
      <c r="A4" t="s">
        <v>80</v>
      </c>
      <c r="B4">
        <v>793</v>
      </c>
    </row>
    <row r="5" spans="1:2" x14ac:dyDescent="0.2">
      <c r="A5" t="s">
        <v>81</v>
      </c>
      <c r="B5">
        <v>319</v>
      </c>
    </row>
    <row r="6" spans="1:2" x14ac:dyDescent="0.2">
      <c r="A6" t="s">
        <v>82</v>
      </c>
      <c r="B6">
        <v>518</v>
      </c>
    </row>
    <row r="7" spans="1:2" x14ac:dyDescent="0.2">
      <c r="A7" t="s">
        <v>83</v>
      </c>
      <c r="B7">
        <v>739</v>
      </c>
    </row>
    <row r="8" spans="1:2" x14ac:dyDescent="0.2">
      <c r="A8" t="s">
        <v>84</v>
      </c>
      <c r="B8">
        <v>399</v>
      </c>
    </row>
    <row r="9" spans="1:2" x14ac:dyDescent="0.2">
      <c r="A9" t="s">
        <v>85</v>
      </c>
      <c r="B9">
        <v>741</v>
      </c>
    </row>
    <row r="10" spans="1:2" x14ac:dyDescent="0.2">
      <c r="A10" t="s">
        <v>86</v>
      </c>
      <c r="B10">
        <v>583</v>
      </c>
    </row>
    <row r="11" spans="1:2" x14ac:dyDescent="0.2">
      <c r="A11" t="s">
        <v>87</v>
      </c>
      <c r="B11">
        <v>602</v>
      </c>
    </row>
    <row r="12" spans="1:2" x14ac:dyDescent="0.2">
      <c r="A12" t="s">
        <v>88</v>
      </c>
      <c r="B12">
        <v>660</v>
      </c>
    </row>
    <row r="13" spans="1:2" x14ac:dyDescent="0.2">
      <c r="A13" t="s">
        <v>89</v>
      </c>
      <c r="B13">
        <v>366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1"/>
  <dimension ref="A1:B13"/>
  <sheetViews>
    <sheetView workbookViewId="0">
      <selection sqref="A1:XFD1048576"/>
    </sheetView>
  </sheetViews>
  <sheetFormatPr baseColWidth="10" defaultColWidth="8.83203125" defaultRowHeight="15" x14ac:dyDescent="0.2"/>
  <sheetData>
    <row r="1" spans="1:2" x14ac:dyDescent="0.2">
      <c r="A1" t="s">
        <v>45</v>
      </c>
      <c r="B1" t="s">
        <v>46</v>
      </c>
    </row>
    <row r="2" spans="1:2" x14ac:dyDescent="0.2">
      <c r="A2" t="s">
        <v>78</v>
      </c>
      <c r="B2">
        <v>531</v>
      </c>
    </row>
    <row r="3" spans="1:2" x14ac:dyDescent="0.2">
      <c r="A3" t="s">
        <v>79</v>
      </c>
      <c r="B3">
        <v>166</v>
      </c>
    </row>
    <row r="4" spans="1:2" x14ac:dyDescent="0.2">
      <c r="A4" t="s">
        <v>80</v>
      </c>
      <c r="B4">
        <v>989</v>
      </c>
    </row>
    <row r="5" spans="1:2" x14ac:dyDescent="0.2">
      <c r="A5" t="s">
        <v>81</v>
      </c>
      <c r="B5">
        <v>634</v>
      </c>
    </row>
    <row r="6" spans="1:2" x14ac:dyDescent="0.2">
      <c r="A6" t="s">
        <v>82</v>
      </c>
      <c r="B6">
        <v>6</v>
      </c>
    </row>
    <row r="7" spans="1:2" x14ac:dyDescent="0.2">
      <c r="A7" t="s">
        <v>83</v>
      </c>
      <c r="B7">
        <v>223</v>
      </c>
    </row>
    <row r="8" spans="1:2" x14ac:dyDescent="0.2">
      <c r="A8" t="s">
        <v>84</v>
      </c>
      <c r="B8">
        <v>855</v>
      </c>
    </row>
    <row r="9" spans="1:2" x14ac:dyDescent="0.2">
      <c r="A9" t="s">
        <v>85</v>
      </c>
      <c r="B9">
        <v>164</v>
      </c>
    </row>
    <row r="10" spans="1:2" x14ac:dyDescent="0.2">
      <c r="A10" t="s">
        <v>86</v>
      </c>
      <c r="B10">
        <v>786</v>
      </c>
    </row>
    <row r="11" spans="1:2" x14ac:dyDescent="0.2">
      <c r="A11" t="s">
        <v>87</v>
      </c>
      <c r="B11">
        <v>463</v>
      </c>
    </row>
    <row r="12" spans="1:2" x14ac:dyDescent="0.2">
      <c r="A12" t="s">
        <v>88</v>
      </c>
      <c r="B12">
        <v>300</v>
      </c>
    </row>
    <row r="13" spans="1:2" x14ac:dyDescent="0.2">
      <c r="A13" t="s">
        <v>89</v>
      </c>
      <c r="B13">
        <v>229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2"/>
  <dimension ref="A1:B13"/>
  <sheetViews>
    <sheetView workbookViewId="0">
      <selection sqref="A1:XFD1048576"/>
    </sheetView>
  </sheetViews>
  <sheetFormatPr baseColWidth="10" defaultColWidth="8.83203125" defaultRowHeight="15" x14ac:dyDescent="0.2"/>
  <sheetData>
    <row r="1" spans="1:2" x14ac:dyDescent="0.2">
      <c r="A1" t="s">
        <v>45</v>
      </c>
      <c r="B1" t="s">
        <v>46</v>
      </c>
    </row>
    <row r="2" spans="1:2" x14ac:dyDescent="0.2">
      <c r="A2" t="s">
        <v>78</v>
      </c>
      <c r="B2">
        <v>128</v>
      </c>
    </row>
    <row r="3" spans="1:2" x14ac:dyDescent="0.2">
      <c r="A3" t="s">
        <v>79</v>
      </c>
      <c r="B3">
        <v>565</v>
      </c>
    </row>
    <row r="4" spans="1:2" x14ac:dyDescent="0.2">
      <c r="A4" t="s">
        <v>80</v>
      </c>
      <c r="B4">
        <v>713</v>
      </c>
    </row>
    <row r="5" spans="1:2" x14ac:dyDescent="0.2">
      <c r="A5" t="s">
        <v>81</v>
      </c>
      <c r="B5">
        <v>544</v>
      </c>
    </row>
    <row r="6" spans="1:2" x14ac:dyDescent="0.2">
      <c r="A6" t="s">
        <v>82</v>
      </c>
      <c r="B6">
        <v>576</v>
      </c>
    </row>
    <row r="7" spans="1:2" x14ac:dyDescent="0.2">
      <c r="A7" t="s">
        <v>83</v>
      </c>
      <c r="B7">
        <v>83</v>
      </c>
    </row>
    <row r="8" spans="1:2" x14ac:dyDescent="0.2">
      <c r="A8" t="s">
        <v>84</v>
      </c>
      <c r="B8">
        <v>971</v>
      </c>
    </row>
    <row r="9" spans="1:2" x14ac:dyDescent="0.2">
      <c r="A9" t="s">
        <v>85</v>
      </c>
      <c r="B9">
        <v>425</v>
      </c>
    </row>
    <row r="10" spans="1:2" x14ac:dyDescent="0.2">
      <c r="A10" t="s">
        <v>86</v>
      </c>
      <c r="B10">
        <v>51</v>
      </c>
    </row>
    <row r="11" spans="1:2" x14ac:dyDescent="0.2">
      <c r="A11" t="s">
        <v>87</v>
      </c>
      <c r="B11">
        <v>83</v>
      </c>
    </row>
    <row r="12" spans="1:2" x14ac:dyDescent="0.2">
      <c r="A12" t="s">
        <v>88</v>
      </c>
      <c r="B12">
        <v>492</v>
      </c>
    </row>
    <row r="13" spans="1:2" x14ac:dyDescent="0.2">
      <c r="A13" t="s">
        <v>89</v>
      </c>
      <c r="B13">
        <v>331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3"/>
  <dimension ref="A1:B13"/>
  <sheetViews>
    <sheetView workbookViewId="0">
      <selection sqref="A1:XFD1048576"/>
    </sheetView>
  </sheetViews>
  <sheetFormatPr baseColWidth="10" defaultColWidth="8.83203125" defaultRowHeight="15" x14ac:dyDescent="0.2"/>
  <sheetData>
    <row r="1" spans="1:2" x14ac:dyDescent="0.2">
      <c r="A1" t="s">
        <v>45</v>
      </c>
      <c r="B1" t="s">
        <v>46</v>
      </c>
    </row>
    <row r="2" spans="1:2" x14ac:dyDescent="0.2">
      <c r="A2" t="s">
        <v>78</v>
      </c>
      <c r="B2">
        <v>645</v>
      </c>
    </row>
    <row r="3" spans="1:2" x14ac:dyDescent="0.2">
      <c r="A3" t="s">
        <v>79</v>
      </c>
      <c r="B3">
        <v>719</v>
      </c>
    </row>
    <row r="4" spans="1:2" x14ac:dyDescent="0.2">
      <c r="A4" t="s">
        <v>80</v>
      </c>
      <c r="B4">
        <v>687</v>
      </c>
    </row>
    <row r="5" spans="1:2" x14ac:dyDescent="0.2">
      <c r="A5" t="s">
        <v>81</v>
      </c>
      <c r="B5">
        <v>226</v>
      </c>
    </row>
    <row r="6" spans="1:2" x14ac:dyDescent="0.2">
      <c r="A6" t="s">
        <v>82</v>
      </c>
      <c r="B6">
        <v>368</v>
      </c>
    </row>
    <row r="7" spans="1:2" x14ac:dyDescent="0.2">
      <c r="A7" t="s">
        <v>83</v>
      </c>
      <c r="B7">
        <v>487</v>
      </c>
    </row>
    <row r="8" spans="1:2" x14ac:dyDescent="0.2">
      <c r="A8" t="s">
        <v>84</v>
      </c>
      <c r="B8">
        <v>872</v>
      </c>
    </row>
    <row r="9" spans="1:2" x14ac:dyDescent="0.2">
      <c r="A9" t="s">
        <v>85</v>
      </c>
      <c r="B9">
        <v>387</v>
      </c>
    </row>
    <row r="10" spans="1:2" x14ac:dyDescent="0.2">
      <c r="A10" t="s">
        <v>86</v>
      </c>
      <c r="B10">
        <v>541</v>
      </c>
    </row>
    <row r="11" spans="1:2" x14ac:dyDescent="0.2">
      <c r="A11" t="s">
        <v>87</v>
      </c>
      <c r="B11">
        <v>29</v>
      </c>
    </row>
    <row r="12" spans="1:2" x14ac:dyDescent="0.2">
      <c r="A12" t="s">
        <v>88</v>
      </c>
      <c r="B12">
        <v>586</v>
      </c>
    </row>
    <row r="13" spans="1:2" x14ac:dyDescent="0.2">
      <c r="A13" t="s">
        <v>89</v>
      </c>
      <c r="B13">
        <v>977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4"/>
  <dimension ref="A1:B13"/>
  <sheetViews>
    <sheetView workbookViewId="0">
      <selection sqref="A1:XFD1048576"/>
    </sheetView>
  </sheetViews>
  <sheetFormatPr baseColWidth="10" defaultColWidth="8.83203125" defaultRowHeight="15" x14ac:dyDescent="0.2"/>
  <sheetData>
    <row r="1" spans="1:2" x14ac:dyDescent="0.2">
      <c r="A1" t="s">
        <v>45</v>
      </c>
      <c r="B1" t="s">
        <v>46</v>
      </c>
    </row>
    <row r="2" spans="1:2" x14ac:dyDescent="0.2">
      <c r="A2" t="s">
        <v>78</v>
      </c>
      <c r="B2">
        <v>352</v>
      </c>
    </row>
    <row r="3" spans="1:2" x14ac:dyDescent="0.2">
      <c r="A3" t="s">
        <v>79</v>
      </c>
      <c r="B3">
        <v>980</v>
      </c>
    </row>
    <row r="4" spans="1:2" x14ac:dyDescent="0.2">
      <c r="A4" t="s">
        <v>80</v>
      </c>
      <c r="B4">
        <v>232</v>
      </c>
    </row>
    <row r="5" spans="1:2" x14ac:dyDescent="0.2">
      <c r="A5" t="s">
        <v>81</v>
      </c>
      <c r="B5">
        <v>134</v>
      </c>
    </row>
    <row r="6" spans="1:2" x14ac:dyDescent="0.2">
      <c r="A6" t="s">
        <v>82</v>
      </c>
      <c r="B6">
        <v>681</v>
      </c>
    </row>
    <row r="7" spans="1:2" x14ac:dyDescent="0.2">
      <c r="A7" t="s">
        <v>83</v>
      </c>
      <c r="B7">
        <v>388</v>
      </c>
    </row>
    <row r="8" spans="1:2" x14ac:dyDescent="0.2">
      <c r="A8" t="s">
        <v>84</v>
      </c>
      <c r="B8">
        <v>481</v>
      </c>
    </row>
    <row r="9" spans="1:2" x14ac:dyDescent="0.2">
      <c r="A9" t="s">
        <v>85</v>
      </c>
      <c r="B9">
        <v>394</v>
      </c>
    </row>
    <row r="10" spans="1:2" x14ac:dyDescent="0.2">
      <c r="A10" t="s">
        <v>86</v>
      </c>
      <c r="B10">
        <v>500</v>
      </c>
    </row>
    <row r="11" spans="1:2" x14ac:dyDescent="0.2">
      <c r="A11" t="s">
        <v>87</v>
      </c>
      <c r="B11">
        <v>974</v>
      </c>
    </row>
    <row r="12" spans="1:2" x14ac:dyDescent="0.2">
      <c r="A12" t="s">
        <v>88</v>
      </c>
      <c r="B12">
        <v>385</v>
      </c>
    </row>
    <row r="13" spans="1:2" x14ac:dyDescent="0.2">
      <c r="A13" t="s">
        <v>89</v>
      </c>
      <c r="B13">
        <v>975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5"/>
  <dimension ref="A1:B13"/>
  <sheetViews>
    <sheetView workbookViewId="0">
      <selection sqref="A1:XFD1048576"/>
    </sheetView>
  </sheetViews>
  <sheetFormatPr baseColWidth="10" defaultColWidth="8.83203125" defaultRowHeight="15" x14ac:dyDescent="0.2"/>
  <sheetData>
    <row r="1" spans="1:2" x14ac:dyDescent="0.2">
      <c r="A1" t="s">
        <v>45</v>
      </c>
      <c r="B1" t="s">
        <v>46</v>
      </c>
    </row>
    <row r="2" spans="1:2" x14ac:dyDescent="0.2">
      <c r="A2" t="s">
        <v>78</v>
      </c>
      <c r="B2">
        <v>859</v>
      </c>
    </row>
    <row r="3" spans="1:2" x14ac:dyDescent="0.2">
      <c r="A3" t="s">
        <v>79</v>
      </c>
      <c r="B3">
        <v>513</v>
      </c>
    </row>
    <row r="4" spans="1:2" x14ac:dyDescent="0.2">
      <c r="A4" t="s">
        <v>80</v>
      </c>
      <c r="B4">
        <v>122</v>
      </c>
    </row>
    <row r="5" spans="1:2" x14ac:dyDescent="0.2">
      <c r="A5" t="s">
        <v>81</v>
      </c>
      <c r="B5">
        <v>942</v>
      </c>
    </row>
    <row r="6" spans="1:2" x14ac:dyDescent="0.2">
      <c r="A6" t="s">
        <v>82</v>
      </c>
      <c r="B6">
        <v>31</v>
      </c>
    </row>
    <row r="7" spans="1:2" x14ac:dyDescent="0.2">
      <c r="A7" t="s">
        <v>83</v>
      </c>
      <c r="B7">
        <v>130</v>
      </c>
    </row>
    <row r="8" spans="1:2" x14ac:dyDescent="0.2">
      <c r="A8" t="s">
        <v>84</v>
      </c>
      <c r="B8">
        <v>980</v>
      </c>
    </row>
    <row r="9" spans="1:2" x14ac:dyDescent="0.2">
      <c r="A9" t="s">
        <v>85</v>
      </c>
      <c r="B9">
        <v>521</v>
      </c>
    </row>
    <row r="10" spans="1:2" x14ac:dyDescent="0.2">
      <c r="A10" t="s">
        <v>86</v>
      </c>
      <c r="B10">
        <v>253</v>
      </c>
    </row>
    <row r="11" spans="1:2" x14ac:dyDescent="0.2">
      <c r="A11" t="s">
        <v>87</v>
      </c>
      <c r="B11">
        <v>171</v>
      </c>
    </row>
    <row r="12" spans="1:2" x14ac:dyDescent="0.2">
      <c r="A12" t="s">
        <v>88</v>
      </c>
      <c r="B12">
        <v>579</v>
      </c>
    </row>
    <row r="13" spans="1:2" x14ac:dyDescent="0.2">
      <c r="A13" t="s">
        <v>89</v>
      </c>
      <c r="B13">
        <v>372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6"/>
  <dimension ref="A1:B13"/>
  <sheetViews>
    <sheetView workbookViewId="0">
      <selection sqref="A1:XFD1048576"/>
    </sheetView>
  </sheetViews>
  <sheetFormatPr baseColWidth="10" defaultColWidth="8.83203125" defaultRowHeight="15" x14ac:dyDescent="0.2"/>
  <sheetData>
    <row r="1" spans="1:2" x14ac:dyDescent="0.2">
      <c r="A1" t="s">
        <v>45</v>
      </c>
      <c r="B1" t="s">
        <v>46</v>
      </c>
    </row>
    <row r="2" spans="1:2" x14ac:dyDescent="0.2">
      <c r="A2" t="s">
        <v>78</v>
      </c>
      <c r="B2">
        <v>649</v>
      </c>
    </row>
    <row r="3" spans="1:2" x14ac:dyDescent="0.2">
      <c r="A3" t="s">
        <v>79</v>
      </c>
      <c r="B3">
        <v>9</v>
      </c>
    </row>
    <row r="4" spans="1:2" x14ac:dyDescent="0.2">
      <c r="A4" t="s">
        <v>80</v>
      </c>
      <c r="B4">
        <v>237</v>
      </c>
    </row>
    <row r="5" spans="1:2" x14ac:dyDescent="0.2">
      <c r="A5" t="s">
        <v>81</v>
      </c>
      <c r="B5">
        <v>322</v>
      </c>
    </row>
    <row r="6" spans="1:2" x14ac:dyDescent="0.2">
      <c r="A6" t="s">
        <v>82</v>
      </c>
      <c r="B6">
        <v>572</v>
      </c>
    </row>
    <row r="7" spans="1:2" x14ac:dyDescent="0.2">
      <c r="A7" t="s">
        <v>83</v>
      </c>
      <c r="B7">
        <v>433</v>
      </c>
    </row>
    <row r="8" spans="1:2" x14ac:dyDescent="0.2">
      <c r="A8" t="s">
        <v>84</v>
      </c>
      <c r="B8">
        <v>899</v>
      </c>
    </row>
    <row r="9" spans="1:2" x14ac:dyDescent="0.2">
      <c r="A9" t="s">
        <v>85</v>
      </c>
      <c r="B9">
        <v>660</v>
      </c>
    </row>
    <row r="10" spans="1:2" x14ac:dyDescent="0.2">
      <c r="A10" t="s">
        <v>86</v>
      </c>
      <c r="B10">
        <v>142</v>
      </c>
    </row>
    <row r="11" spans="1:2" x14ac:dyDescent="0.2">
      <c r="A11" t="s">
        <v>87</v>
      </c>
      <c r="B11">
        <v>877</v>
      </c>
    </row>
    <row r="12" spans="1:2" x14ac:dyDescent="0.2">
      <c r="A12" t="s">
        <v>88</v>
      </c>
      <c r="B12">
        <v>904</v>
      </c>
    </row>
    <row r="13" spans="1:2" x14ac:dyDescent="0.2">
      <c r="A13" t="s">
        <v>89</v>
      </c>
      <c r="B13">
        <v>402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7"/>
  <dimension ref="A1:B13"/>
  <sheetViews>
    <sheetView workbookViewId="0">
      <selection activeCell="F21" sqref="F21"/>
    </sheetView>
  </sheetViews>
  <sheetFormatPr baseColWidth="10" defaultColWidth="8.83203125" defaultRowHeight="15" x14ac:dyDescent="0.2"/>
  <sheetData>
    <row r="1" spans="1:2" x14ac:dyDescent="0.2">
      <c r="A1" t="s">
        <v>45</v>
      </c>
      <c r="B1" t="s">
        <v>46</v>
      </c>
    </row>
    <row r="2" spans="1:2" x14ac:dyDescent="0.2">
      <c r="A2" t="s">
        <v>78</v>
      </c>
      <c r="B2">
        <v>261</v>
      </c>
    </row>
    <row r="3" spans="1:2" x14ac:dyDescent="0.2">
      <c r="A3" t="s">
        <v>79</v>
      </c>
      <c r="B3">
        <v>872</v>
      </c>
    </row>
    <row r="4" spans="1:2" x14ac:dyDescent="0.2">
      <c r="A4" t="s">
        <v>80</v>
      </c>
      <c r="B4">
        <v>685</v>
      </c>
    </row>
    <row r="5" spans="1:2" x14ac:dyDescent="0.2">
      <c r="A5" t="s">
        <v>81</v>
      </c>
      <c r="B5">
        <v>964</v>
      </c>
    </row>
    <row r="6" spans="1:2" x14ac:dyDescent="0.2">
      <c r="A6" t="s">
        <v>82</v>
      </c>
      <c r="B6">
        <v>275</v>
      </c>
    </row>
    <row r="7" spans="1:2" x14ac:dyDescent="0.2">
      <c r="A7" t="s">
        <v>83</v>
      </c>
      <c r="B7">
        <v>535</v>
      </c>
    </row>
    <row r="8" spans="1:2" x14ac:dyDescent="0.2">
      <c r="A8" t="s">
        <v>84</v>
      </c>
      <c r="B8">
        <v>466</v>
      </c>
    </row>
    <row r="9" spans="1:2" x14ac:dyDescent="0.2">
      <c r="A9" t="s">
        <v>85</v>
      </c>
      <c r="B9">
        <v>796</v>
      </c>
    </row>
    <row r="10" spans="1:2" x14ac:dyDescent="0.2">
      <c r="A10" t="s">
        <v>86</v>
      </c>
      <c r="B10">
        <v>881</v>
      </c>
    </row>
    <row r="11" spans="1:2" x14ac:dyDescent="0.2">
      <c r="A11" t="s">
        <v>87</v>
      </c>
      <c r="B11">
        <v>599</v>
      </c>
    </row>
    <row r="12" spans="1:2" x14ac:dyDescent="0.2">
      <c r="A12" t="s">
        <v>88</v>
      </c>
      <c r="B12">
        <v>179</v>
      </c>
    </row>
    <row r="13" spans="1:2" x14ac:dyDescent="0.2">
      <c r="A13" t="s">
        <v>89</v>
      </c>
      <c r="B13">
        <v>305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7"/>
  <dimension ref="A1:DD602"/>
  <sheetViews>
    <sheetView topLeftCell="A79" workbookViewId="0">
      <selection activeCell="H112" sqref="H112"/>
    </sheetView>
  </sheetViews>
  <sheetFormatPr baseColWidth="10" defaultColWidth="8.83203125" defaultRowHeight="15" x14ac:dyDescent="0.2"/>
  <cols>
    <col min="1" max="1" width="12.33203125" bestFit="1" customWidth="1"/>
    <col min="2" max="2" width="19.1640625" bestFit="1" customWidth="1"/>
    <col min="4" max="4" width="12.33203125" bestFit="1" customWidth="1"/>
    <col min="8" max="8" width="13.5" style="27" bestFit="1" customWidth="1"/>
    <col min="9" max="9" width="11.33203125" customWidth="1"/>
  </cols>
  <sheetData>
    <row r="1" spans="1:108" x14ac:dyDescent="0.2">
      <c r="A1" s="14" t="s">
        <v>66</v>
      </c>
      <c r="B1" s="14" t="s">
        <v>50</v>
      </c>
      <c r="D1" s="52" t="s">
        <v>67</v>
      </c>
      <c r="E1" s="53"/>
      <c r="F1" s="54"/>
      <c r="I1" s="1" t="s">
        <v>68</v>
      </c>
    </row>
    <row r="2" spans="1:108" x14ac:dyDescent="0.2">
      <c r="A2" s="11" t="s">
        <v>48</v>
      </c>
      <c r="B2" s="13">
        <v>0.6</v>
      </c>
      <c r="D2" s="15"/>
      <c r="E2" s="55" t="s">
        <v>66</v>
      </c>
      <c r="F2" s="56"/>
      <c r="H2" s="25" t="s">
        <v>69</v>
      </c>
      <c r="I2">
        <v>1</v>
      </c>
      <c r="J2">
        <v>2</v>
      </c>
      <c r="K2">
        <v>3</v>
      </c>
      <c r="L2">
        <v>4</v>
      </c>
      <c r="M2">
        <v>5</v>
      </c>
      <c r="N2">
        <v>6</v>
      </c>
      <c r="O2">
        <v>7</v>
      </c>
      <c r="P2">
        <v>8</v>
      </c>
      <c r="Q2">
        <v>9</v>
      </c>
      <c r="R2">
        <v>10</v>
      </c>
      <c r="S2">
        <v>11</v>
      </c>
      <c r="T2">
        <v>12</v>
      </c>
      <c r="U2">
        <v>13</v>
      </c>
      <c r="V2">
        <v>14</v>
      </c>
      <c r="W2">
        <v>15</v>
      </c>
      <c r="X2">
        <v>16</v>
      </c>
      <c r="Y2">
        <v>17</v>
      </c>
      <c r="Z2">
        <v>18</v>
      </c>
      <c r="AA2">
        <v>19</v>
      </c>
      <c r="AB2">
        <v>20</v>
      </c>
      <c r="AC2">
        <v>21</v>
      </c>
      <c r="AD2">
        <v>22</v>
      </c>
      <c r="AE2">
        <v>23</v>
      </c>
      <c r="AF2">
        <v>24</v>
      </c>
      <c r="AG2">
        <v>25</v>
      </c>
      <c r="AH2">
        <v>26</v>
      </c>
      <c r="AI2">
        <v>27</v>
      </c>
      <c r="AJ2">
        <v>28</v>
      </c>
      <c r="AK2">
        <v>29</v>
      </c>
      <c r="AL2">
        <v>30</v>
      </c>
      <c r="AM2">
        <v>31</v>
      </c>
      <c r="AN2">
        <v>32</v>
      </c>
      <c r="AO2">
        <v>33</v>
      </c>
      <c r="AP2">
        <v>34</v>
      </c>
      <c r="AQ2">
        <v>35</v>
      </c>
      <c r="AR2">
        <v>36</v>
      </c>
      <c r="AS2">
        <v>37</v>
      </c>
      <c r="AT2">
        <v>38</v>
      </c>
      <c r="AU2">
        <v>39</v>
      </c>
      <c r="AV2">
        <v>40</v>
      </c>
      <c r="AW2">
        <v>41</v>
      </c>
      <c r="AX2">
        <v>42</v>
      </c>
      <c r="AY2">
        <v>43</v>
      </c>
      <c r="AZ2">
        <v>44</v>
      </c>
      <c r="BA2">
        <v>45</v>
      </c>
      <c r="BB2">
        <v>46</v>
      </c>
      <c r="BC2">
        <v>47</v>
      </c>
      <c r="BD2">
        <v>48</v>
      </c>
      <c r="BE2">
        <v>49</v>
      </c>
      <c r="BF2">
        <v>50</v>
      </c>
      <c r="BG2" s="26"/>
      <c r="BH2" s="26"/>
      <c r="BI2" s="26"/>
      <c r="BJ2" s="26"/>
      <c r="BK2" s="26"/>
      <c r="BL2" s="26"/>
      <c r="BM2" s="26"/>
      <c r="BN2" s="26"/>
      <c r="BO2" s="26"/>
      <c r="BP2" s="26"/>
      <c r="BQ2" s="26"/>
      <c r="BR2" s="26"/>
      <c r="BS2" s="26"/>
      <c r="BT2" s="26"/>
      <c r="BU2" s="26"/>
      <c r="BV2" s="26"/>
      <c r="BW2" s="26"/>
      <c r="BX2" s="26"/>
      <c r="BY2" s="26"/>
      <c r="BZ2" s="26"/>
      <c r="CA2" s="26"/>
      <c r="CB2" s="26"/>
      <c r="CC2" s="26"/>
      <c r="CD2" s="26"/>
      <c r="CE2" s="26"/>
      <c r="CF2" s="26"/>
      <c r="CG2" s="26"/>
      <c r="CH2" s="26"/>
      <c r="CI2" s="26"/>
      <c r="CJ2" s="26"/>
      <c r="CK2" s="26"/>
      <c r="CL2" s="26"/>
      <c r="CM2" s="26"/>
      <c r="CN2" s="26"/>
      <c r="CO2" s="26"/>
      <c r="CP2" s="26"/>
      <c r="CQ2" s="26"/>
      <c r="CR2" s="26"/>
      <c r="CS2" s="26"/>
      <c r="CT2" s="26"/>
      <c r="CU2" s="26"/>
      <c r="CV2" s="26"/>
      <c r="CW2" s="26"/>
      <c r="CX2" s="26"/>
      <c r="CY2" s="26"/>
      <c r="CZ2" s="26"/>
      <c r="DA2" s="26"/>
      <c r="DB2" s="26"/>
      <c r="DC2" s="26"/>
      <c r="DD2" s="26"/>
    </row>
    <row r="3" spans="1:108" x14ac:dyDescent="0.2">
      <c r="A3" s="11" t="s">
        <v>49</v>
      </c>
      <c r="B3" s="13">
        <v>0.4</v>
      </c>
      <c r="D3" s="16" t="s">
        <v>65</v>
      </c>
      <c r="E3" s="17" t="s">
        <v>48</v>
      </c>
      <c r="F3" s="18" t="s">
        <v>49</v>
      </c>
      <c r="H3" s="27">
        <v>1</v>
      </c>
      <c r="I3">
        <v>24</v>
      </c>
      <c r="J3">
        <v>24</v>
      </c>
      <c r="K3">
        <v>20</v>
      </c>
      <c r="L3">
        <v>120</v>
      </c>
      <c r="M3">
        <v>200</v>
      </c>
      <c r="N3">
        <v>168</v>
      </c>
      <c r="O3">
        <v>42</v>
      </c>
      <c r="P3">
        <v>120</v>
      </c>
      <c r="Q3">
        <v>35</v>
      </c>
      <c r="R3">
        <v>42</v>
      </c>
      <c r="S3">
        <v>42</v>
      </c>
      <c r="T3">
        <v>35</v>
      </c>
      <c r="U3">
        <v>25</v>
      </c>
      <c r="V3">
        <v>42</v>
      </c>
      <c r="W3">
        <v>42</v>
      </c>
      <c r="X3">
        <v>20</v>
      </c>
      <c r="Y3">
        <v>120</v>
      </c>
      <c r="Z3">
        <v>35</v>
      </c>
      <c r="AA3">
        <v>35</v>
      </c>
      <c r="AB3">
        <v>35</v>
      </c>
      <c r="AC3">
        <v>35</v>
      </c>
      <c r="AD3">
        <v>120</v>
      </c>
      <c r="AE3">
        <v>42</v>
      </c>
      <c r="AF3">
        <v>25</v>
      </c>
      <c r="AG3">
        <v>100</v>
      </c>
      <c r="AH3">
        <v>120</v>
      </c>
      <c r="AI3">
        <v>168</v>
      </c>
      <c r="AJ3">
        <v>120</v>
      </c>
      <c r="AK3">
        <v>120</v>
      </c>
      <c r="AL3">
        <v>70</v>
      </c>
      <c r="AM3">
        <v>84</v>
      </c>
      <c r="AN3">
        <v>24</v>
      </c>
      <c r="AO3">
        <v>96</v>
      </c>
      <c r="AP3">
        <v>70</v>
      </c>
      <c r="AQ3">
        <v>35</v>
      </c>
      <c r="AR3">
        <v>20</v>
      </c>
      <c r="AS3">
        <v>140</v>
      </c>
      <c r="AT3">
        <v>35</v>
      </c>
      <c r="AU3">
        <v>35</v>
      </c>
      <c r="AV3">
        <v>42</v>
      </c>
      <c r="AW3">
        <v>84</v>
      </c>
      <c r="AX3">
        <v>96</v>
      </c>
      <c r="AY3">
        <v>24</v>
      </c>
      <c r="AZ3">
        <v>50</v>
      </c>
      <c r="BA3">
        <v>30</v>
      </c>
      <c r="BB3">
        <v>120</v>
      </c>
      <c r="BC3">
        <v>30</v>
      </c>
      <c r="BD3">
        <v>120</v>
      </c>
      <c r="BE3">
        <v>20</v>
      </c>
      <c r="BF3">
        <v>35</v>
      </c>
      <c r="BG3" s="26"/>
      <c r="BH3" s="26"/>
      <c r="BI3" s="26"/>
      <c r="BJ3" s="26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6"/>
      <c r="CB3" s="26"/>
      <c r="CC3" s="26"/>
      <c r="CD3" s="26"/>
      <c r="CE3" s="26"/>
      <c r="CF3" s="26"/>
      <c r="CG3" s="26"/>
      <c r="CH3" s="26"/>
      <c r="CI3" s="26"/>
      <c r="CJ3" s="26"/>
      <c r="CK3" s="26"/>
      <c r="CL3" s="26"/>
      <c r="CM3" s="26"/>
      <c r="CN3" s="26"/>
      <c r="CO3" s="26"/>
      <c r="CP3" s="26"/>
      <c r="CQ3" s="26"/>
      <c r="CR3" s="26"/>
      <c r="CS3" s="26"/>
      <c r="CT3" s="26"/>
      <c r="CU3" s="26"/>
      <c r="CV3" s="26"/>
      <c r="CW3" s="26"/>
      <c r="CX3" s="26"/>
      <c r="CY3" s="26"/>
      <c r="CZ3" s="26"/>
      <c r="DA3" s="26"/>
      <c r="DB3" s="26"/>
      <c r="DC3" s="26"/>
      <c r="DD3" s="26"/>
    </row>
    <row r="4" spans="1:108" x14ac:dyDescent="0.2">
      <c r="D4" s="23" t="s">
        <v>57</v>
      </c>
      <c r="E4" s="19">
        <v>70</v>
      </c>
      <c r="F4" s="20">
        <v>84</v>
      </c>
      <c r="H4" s="27">
        <v>2</v>
      </c>
      <c r="I4">
        <v>20</v>
      </c>
      <c r="J4">
        <v>72</v>
      </c>
      <c r="K4">
        <v>24</v>
      </c>
      <c r="L4">
        <v>35</v>
      </c>
      <c r="M4">
        <v>35</v>
      </c>
      <c r="N4">
        <v>20</v>
      </c>
      <c r="O4">
        <v>35</v>
      </c>
      <c r="P4">
        <v>42</v>
      </c>
      <c r="Q4">
        <v>24</v>
      </c>
      <c r="R4">
        <v>35</v>
      </c>
      <c r="S4">
        <v>35</v>
      </c>
      <c r="T4">
        <v>35</v>
      </c>
      <c r="U4">
        <v>120</v>
      </c>
      <c r="V4">
        <v>24</v>
      </c>
      <c r="W4">
        <v>20</v>
      </c>
      <c r="X4">
        <v>35</v>
      </c>
      <c r="Y4">
        <v>20</v>
      </c>
      <c r="Z4">
        <v>84</v>
      </c>
      <c r="AA4">
        <v>20</v>
      </c>
      <c r="AB4">
        <v>240</v>
      </c>
      <c r="AC4">
        <v>80</v>
      </c>
      <c r="AD4">
        <v>96</v>
      </c>
      <c r="AE4">
        <v>42</v>
      </c>
      <c r="AF4">
        <v>24</v>
      </c>
      <c r="AG4">
        <v>96</v>
      </c>
      <c r="AH4">
        <v>120</v>
      </c>
      <c r="AI4">
        <v>140</v>
      </c>
      <c r="AJ4">
        <v>100</v>
      </c>
      <c r="AK4">
        <v>70</v>
      </c>
      <c r="AL4">
        <v>30</v>
      </c>
      <c r="AM4">
        <v>24</v>
      </c>
      <c r="AN4">
        <v>35</v>
      </c>
      <c r="AO4">
        <v>35</v>
      </c>
      <c r="AP4">
        <v>25</v>
      </c>
      <c r="AQ4">
        <v>42</v>
      </c>
      <c r="AR4">
        <v>100</v>
      </c>
      <c r="AS4">
        <v>25</v>
      </c>
      <c r="AT4">
        <v>96</v>
      </c>
      <c r="AU4">
        <v>100</v>
      </c>
      <c r="AV4">
        <v>35</v>
      </c>
      <c r="AW4">
        <v>35</v>
      </c>
      <c r="AX4">
        <v>120</v>
      </c>
      <c r="AY4">
        <v>80</v>
      </c>
      <c r="AZ4">
        <v>120</v>
      </c>
      <c r="BA4">
        <v>35</v>
      </c>
      <c r="BB4">
        <v>42</v>
      </c>
      <c r="BC4">
        <v>140</v>
      </c>
      <c r="BD4">
        <v>35</v>
      </c>
      <c r="BE4">
        <v>20</v>
      </c>
      <c r="BF4">
        <v>35</v>
      </c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  <c r="CL4" s="26"/>
      <c r="CM4" s="26"/>
      <c r="CN4" s="26"/>
      <c r="CO4" s="26"/>
      <c r="CP4" s="26"/>
      <c r="CQ4" s="26"/>
      <c r="CR4" s="26"/>
      <c r="CS4" s="26"/>
      <c r="CT4" s="26"/>
      <c r="CU4" s="26"/>
      <c r="CV4" s="26"/>
      <c r="CW4" s="26"/>
      <c r="CX4" s="26"/>
      <c r="CY4" s="26"/>
      <c r="CZ4" s="26"/>
      <c r="DA4" s="26"/>
      <c r="DB4" s="26"/>
      <c r="DC4" s="26"/>
      <c r="DD4" s="26"/>
    </row>
    <row r="5" spans="1:108" x14ac:dyDescent="0.2">
      <c r="A5" s="14" t="s">
        <v>65</v>
      </c>
      <c r="B5" s="14" t="s">
        <v>50</v>
      </c>
      <c r="D5" s="23" t="s">
        <v>56</v>
      </c>
      <c r="E5" s="19">
        <v>80</v>
      </c>
      <c r="F5" s="20">
        <v>96</v>
      </c>
      <c r="H5" s="27">
        <v>3</v>
      </c>
      <c r="I5">
        <v>35</v>
      </c>
      <c r="J5">
        <v>20</v>
      </c>
      <c r="K5">
        <v>100</v>
      </c>
      <c r="L5">
        <v>35</v>
      </c>
      <c r="M5">
        <v>140</v>
      </c>
      <c r="N5">
        <v>80</v>
      </c>
      <c r="O5">
        <v>168</v>
      </c>
      <c r="P5">
        <v>42</v>
      </c>
      <c r="Q5">
        <v>24</v>
      </c>
      <c r="R5">
        <v>25</v>
      </c>
      <c r="S5">
        <v>20</v>
      </c>
      <c r="T5">
        <v>25</v>
      </c>
      <c r="U5">
        <v>84</v>
      </c>
      <c r="V5">
        <v>30</v>
      </c>
      <c r="W5">
        <v>140</v>
      </c>
      <c r="X5">
        <v>100</v>
      </c>
      <c r="Y5">
        <v>42</v>
      </c>
      <c r="Z5">
        <v>120</v>
      </c>
      <c r="AA5">
        <v>100</v>
      </c>
      <c r="AB5">
        <v>84</v>
      </c>
      <c r="AC5">
        <v>35</v>
      </c>
      <c r="AD5">
        <v>42</v>
      </c>
      <c r="AE5">
        <v>70</v>
      </c>
      <c r="AF5">
        <v>100</v>
      </c>
      <c r="AG5">
        <v>42</v>
      </c>
      <c r="AH5">
        <v>96</v>
      </c>
      <c r="AI5">
        <v>120</v>
      </c>
      <c r="AJ5">
        <v>42</v>
      </c>
      <c r="AK5">
        <v>70</v>
      </c>
      <c r="AL5">
        <v>80</v>
      </c>
      <c r="AM5">
        <v>24</v>
      </c>
      <c r="AN5">
        <v>70</v>
      </c>
      <c r="AO5">
        <v>24</v>
      </c>
      <c r="AP5">
        <v>168</v>
      </c>
      <c r="AQ5">
        <v>80</v>
      </c>
      <c r="AR5">
        <v>20</v>
      </c>
      <c r="AS5">
        <v>70</v>
      </c>
      <c r="AT5">
        <v>30</v>
      </c>
      <c r="AU5">
        <v>140</v>
      </c>
      <c r="AV5">
        <v>120</v>
      </c>
      <c r="AW5">
        <v>25</v>
      </c>
      <c r="AX5">
        <v>20</v>
      </c>
      <c r="AY5">
        <v>35</v>
      </c>
      <c r="AZ5">
        <v>20</v>
      </c>
      <c r="BA5">
        <v>24</v>
      </c>
      <c r="BB5">
        <v>25</v>
      </c>
      <c r="BC5">
        <v>35</v>
      </c>
      <c r="BD5">
        <v>140</v>
      </c>
      <c r="BE5">
        <v>168</v>
      </c>
      <c r="BF5">
        <v>140</v>
      </c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6"/>
      <c r="CB5" s="26"/>
      <c r="CC5" s="26"/>
      <c r="CD5" s="26"/>
      <c r="CE5" s="26"/>
      <c r="CF5" s="26"/>
      <c r="CG5" s="26"/>
      <c r="CH5" s="26"/>
      <c r="CI5" s="26"/>
      <c r="CJ5" s="26"/>
      <c r="CK5" s="26"/>
      <c r="CL5" s="26"/>
      <c r="CM5" s="26"/>
      <c r="CN5" s="26"/>
      <c r="CO5" s="26"/>
      <c r="CP5" s="26"/>
      <c r="CQ5" s="26"/>
      <c r="CR5" s="26"/>
      <c r="CS5" s="26"/>
      <c r="CT5" s="26"/>
      <c r="CU5" s="26"/>
      <c r="CV5" s="26"/>
      <c r="CW5" s="26"/>
      <c r="CX5" s="26"/>
      <c r="CY5" s="26"/>
      <c r="CZ5" s="26"/>
      <c r="DA5" s="26"/>
      <c r="DB5" s="26"/>
      <c r="DC5" s="26"/>
      <c r="DD5" s="26"/>
    </row>
    <row r="6" spans="1:108" x14ac:dyDescent="0.2">
      <c r="A6" s="11" t="s">
        <v>57</v>
      </c>
      <c r="B6" s="12">
        <v>0.05</v>
      </c>
      <c r="D6" s="23" t="s">
        <v>53</v>
      </c>
      <c r="E6" s="19">
        <v>100</v>
      </c>
      <c r="F6" s="20">
        <v>120</v>
      </c>
      <c r="H6" s="27">
        <v>4</v>
      </c>
      <c r="I6">
        <v>42</v>
      </c>
      <c r="J6">
        <v>100</v>
      </c>
      <c r="K6">
        <v>42</v>
      </c>
      <c r="L6">
        <v>20</v>
      </c>
      <c r="M6">
        <v>25</v>
      </c>
      <c r="N6">
        <v>140</v>
      </c>
      <c r="O6">
        <v>140</v>
      </c>
      <c r="P6">
        <v>35</v>
      </c>
      <c r="Q6">
        <v>20</v>
      </c>
      <c r="R6">
        <v>20</v>
      </c>
      <c r="S6">
        <v>100</v>
      </c>
      <c r="T6">
        <v>24</v>
      </c>
      <c r="U6">
        <v>35</v>
      </c>
      <c r="V6">
        <v>96</v>
      </c>
      <c r="W6">
        <v>42</v>
      </c>
      <c r="X6">
        <v>84</v>
      </c>
      <c r="Y6">
        <v>140</v>
      </c>
      <c r="Z6">
        <v>168</v>
      </c>
      <c r="AA6">
        <v>120</v>
      </c>
      <c r="AB6">
        <v>42</v>
      </c>
      <c r="AC6">
        <v>100</v>
      </c>
      <c r="AD6">
        <v>140</v>
      </c>
      <c r="AE6">
        <v>25</v>
      </c>
      <c r="AF6">
        <v>140</v>
      </c>
      <c r="AG6">
        <v>35</v>
      </c>
      <c r="AH6">
        <v>35</v>
      </c>
      <c r="AI6">
        <v>42</v>
      </c>
      <c r="AJ6">
        <v>35</v>
      </c>
      <c r="AK6">
        <v>70</v>
      </c>
      <c r="AL6">
        <v>168</v>
      </c>
      <c r="AM6">
        <v>35</v>
      </c>
      <c r="AN6">
        <v>120</v>
      </c>
      <c r="AO6">
        <v>25</v>
      </c>
      <c r="AP6">
        <v>100</v>
      </c>
      <c r="AQ6">
        <v>25</v>
      </c>
      <c r="AR6">
        <v>20</v>
      </c>
      <c r="AS6">
        <v>35</v>
      </c>
      <c r="AT6">
        <v>25</v>
      </c>
      <c r="AU6">
        <v>168</v>
      </c>
      <c r="AV6">
        <v>25</v>
      </c>
      <c r="AW6">
        <v>35</v>
      </c>
      <c r="AX6">
        <v>24</v>
      </c>
      <c r="AY6">
        <v>20</v>
      </c>
      <c r="AZ6">
        <v>100</v>
      </c>
      <c r="BA6">
        <v>24</v>
      </c>
      <c r="BB6">
        <v>42</v>
      </c>
      <c r="BC6">
        <v>140</v>
      </c>
      <c r="BD6">
        <v>35</v>
      </c>
      <c r="BE6">
        <v>200</v>
      </c>
      <c r="BF6">
        <v>20</v>
      </c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6"/>
      <c r="CB6" s="26"/>
      <c r="CC6" s="26"/>
      <c r="CD6" s="26"/>
      <c r="CE6" s="26"/>
      <c r="CF6" s="26"/>
      <c r="CG6" s="26"/>
      <c r="CH6" s="26"/>
      <c r="CI6" s="26"/>
      <c r="CJ6" s="26"/>
      <c r="CK6" s="26"/>
      <c r="CL6" s="26"/>
      <c r="CM6" s="26"/>
      <c r="CN6" s="26"/>
      <c r="CO6" s="26"/>
      <c r="CP6" s="26"/>
      <c r="CQ6" s="26"/>
      <c r="CR6" s="26"/>
      <c r="CS6" s="26"/>
      <c r="CT6" s="26"/>
      <c r="CU6" s="26"/>
      <c r="CV6" s="26"/>
      <c r="CW6" s="26"/>
      <c r="CX6" s="26"/>
      <c r="CY6" s="26"/>
      <c r="CZ6" s="26"/>
      <c r="DA6" s="26"/>
      <c r="DB6" s="26"/>
      <c r="DC6" s="26"/>
      <c r="DD6" s="26"/>
    </row>
    <row r="7" spans="1:108" x14ac:dyDescent="0.2">
      <c r="A7" s="11" t="s">
        <v>56</v>
      </c>
      <c r="B7" s="12">
        <v>7.0000000000000007E-2</v>
      </c>
      <c r="D7" s="23" t="s">
        <v>62</v>
      </c>
      <c r="E7" s="19">
        <v>20</v>
      </c>
      <c r="F7" s="20">
        <v>24</v>
      </c>
      <c r="H7" s="27">
        <f>H6+1</f>
        <v>5</v>
      </c>
      <c r="I7">
        <v>20</v>
      </c>
      <c r="J7">
        <v>35</v>
      </c>
      <c r="K7">
        <v>24</v>
      </c>
      <c r="L7">
        <v>20</v>
      </c>
      <c r="M7">
        <v>100</v>
      </c>
      <c r="N7">
        <v>20</v>
      </c>
      <c r="O7">
        <v>42</v>
      </c>
      <c r="P7">
        <v>35</v>
      </c>
      <c r="Q7">
        <v>50</v>
      </c>
      <c r="R7">
        <v>140</v>
      </c>
      <c r="S7">
        <v>120</v>
      </c>
      <c r="T7">
        <v>100</v>
      </c>
      <c r="U7">
        <v>70</v>
      </c>
      <c r="V7">
        <v>35</v>
      </c>
      <c r="W7">
        <v>24</v>
      </c>
      <c r="X7">
        <v>100</v>
      </c>
      <c r="Y7">
        <v>20</v>
      </c>
      <c r="Z7">
        <v>42</v>
      </c>
      <c r="AA7">
        <v>240</v>
      </c>
      <c r="AB7">
        <v>35</v>
      </c>
      <c r="AC7">
        <v>168</v>
      </c>
      <c r="AD7">
        <v>70</v>
      </c>
      <c r="AE7">
        <v>240</v>
      </c>
      <c r="AF7">
        <v>100</v>
      </c>
      <c r="AG7">
        <v>24</v>
      </c>
      <c r="AH7">
        <v>42</v>
      </c>
      <c r="AI7">
        <v>42</v>
      </c>
      <c r="AJ7">
        <v>24</v>
      </c>
      <c r="AK7">
        <v>100</v>
      </c>
      <c r="AL7">
        <v>35</v>
      </c>
      <c r="AM7">
        <v>80</v>
      </c>
      <c r="AN7">
        <v>120</v>
      </c>
      <c r="AO7">
        <v>100</v>
      </c>
      <c r="AP7">
        <v>42</v>
      </c>
      <c r="AQ7">
        <v>25</v>
      </c>
      <c r="AR7">
        <v>100</v>
      </c>
      <c r="AS7">
        <v>25</v>
      </c>
      <c r="AT7">
        <v>25</v>
      </c>
      <c r="AU7">
        <v>20</v>
      </c>
      <c r="AV7">
        <v>140</v>
      </c>
      <c r="AW7">
        <v>100</v>
      </c>
      <c r="AX7">
        <v>35</v>
      </c>
      <c r="AY7">
        <v>35</v>
      </c>
      <c r="AZ7">
        <v>84</v>
      </c>
      <c r="BA7">
        <v>120</v>
      </c>
      <c r="BB7">
        <v>20</v>
      </c>
      <c r="BC7">
        <v>120</v>
      </c>
      <c r="BD7">
        <v>35</v>
      </c>
      <c r="BE7">
        <v>120</v>
      </c>
      <c r="BF7">
        <v>35</v>
      </c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26"/>
      <c r="BU7" s="26"/>
      <c r="BV7" s="26"/>
      <c r="BW7" s="26"/>
      <c r="BX7" s="26"/>
      <c r="BY7" s="26"/>
      <c r="BZ7" s="26"/>
      <c r="CA7" s="26"/>
      <c r="CB7" s="26"/>
      <c r="CC7" s="26"/>
      <c r="CD7" s="26"/>
      <c r="CE7" s="26"/>
      <c r="CF7" s="26"/>
      <c r="CG7" s="26"/>
      <c r="CH7" s="26"/>
      <c r="CI7" s="26"/>
      <c r="CJ7" s="26"/>
      <c r="CK7" s="26"/>
      <c r="CL7" s="26"/>
      <c r="CM7" s="26"/>
      <c r="CN7" s="26"/>
      <c r="CO7" s="26"/>
      <c r="CP7" s="26"/>
      <c r="CQ7" s="26"/>
      <c r="CR7" s="26"/>
      <c r="CS7" s="26"/>
      <c r="CT7" s="26"/>
      <c r="CU7" s="26"/>
      <c r="CV7" s="26"/>
      <c r="CW7" s="26"/>
      <c r="CX7" s="26"/>
      <c r="CY7" s="26"/>
      <c r="CZ7" s="26"/>
      <c r="DA7" s="26"/>
      <c r="DB7" s="26"/>
      <c r="DC7" s="26"/>
      <c r="DD7" s="26"/>
    </row>
    <row r="8" spans="1:108" x14ac:dyDescent="0.2">
      <c r="A8" s="11" t="s">
        <v>53</v>
      </c>
      <c r="B8" s="12">
        <v>0.05</v>
      </c>
      <c r="D8" s="23" t="s">
        <v>64</v>
      </c>
      <c r="E8" s="19">
        <v>5</v>
      </c>
      <c r="F8" s="20">
        <v>6</v>
      </c>
      <c r="H8" s="27">
        <f t="shared" ref="H8:H71" si="0">H7+1</f>
        <v>6</v>
      </c>
      <c r="I8">
        <v>20</v>
      </c>
      <c r="J8">
        <v>25</v>
      </c>
      <c r="K8">
        <v>120</v>
      </c>
      <c r="L8">
        <v>42</v>
      </c>
      <c r="M8">
        <v>120</v>
      </c>
      <c r="N8">
        <v>96</v>
      </c>
      <c r="O8">
        <v>25</v>
      </c>
      <c r="P8">
        <v>20</v>
      </c>
      <c r="Q8">
        <v>200</v>
      </c>
      <c r="R8">
        <v>25</v>
      </c>
      <c r="S8">
        <v>30</v>
      </c>
      <c r="T8">
        <v>25</v>
      </c>
      <c r="U8">
        <v>25</v>
      </c>
      <c r="V8">
        <v>25</v>
      </c>
      <c r="W8">
        <v>35</v>
      </c>
      <c r="X8">
        <v>20</v>
      </c>
      <c r="Y8">
        <v>25</v>
      </c>
      <c r="Z8">
        <v>120</v>
      </c>
      <c r="AA8">
        <v>25</v>
      </c>
      <c r="AB8">
        <v>20</v>
      </c>
      <c r="AC8">
        <v>20</v>
      </c>
      <c r="AD8">
        <v>24</v>
      </c>
      <c r="AE8">
        <v>35</v>
      </c>
      <c r="AF8">
        <v>168</v>
      </c>
      <c r="AG8">
        <v>120</v>
      </c>
      <c r="AH8">
        <v>60</v>
      </c>
      <c r="AI8">
        <v>120</v>
      </c>
      <c r="AJ8">
        <v>42</v>
      </c>
      <c r="AK8">
        <v>84</v>
      </c>
      <c r="AL8">
        <v>70</v>
      </c>
      <c r="AM8">
        <v>168</v>
      </c>
      <c r="AN8">
        <v>20</v>
      </c>
      <c r="AO8">
        <v>140</v>
      </c>
      <c r="AP8">
        <v>35</v>
      </c>
      <c r="AQ8">
        <v>80</v>
      </c>
      <c r="AR8">
        <v>35</v>
      </c>
      <c r="AS8">
        <v>24</v>
      </c>
      <c r="AT8">
        <v>70</v>
      </c>
      <c r="AU8">
        <v>42</v>
      </c>
      <c r="AV8">
        <v>24</v>
      </c>
      <c r="AW8">
        <v>30</v>
      </c>
      <c r="AX8">
        <v>120</v>
      </c>
      <c r="AY8">
        <v>96</v>
      </c>
      <c r="AZ8">
        <v>120</v>
      </c>
      <c r="BA8">
        <v>35</v>
      </c>
      <c r="BB8">
        <v>30</v>
      </c>
      <c r="BC8">
        <v>25</v>
      </c>
      <c r="BD8">
        <v>200</v>
      </c>
      <c r="BE8">
        <v>120</v>
      </c>
      <c r="BF8">
        <v>140</v>
      </c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26"/>
      <c r="BT8" s="26"/>
      <c r="BU8" s="26"/>
      <c r="BV8" s="26"/>
      <c r="BW8" s="26"/>
      <c r="BX8" s="26"/>
      <c r="BY8" s="26"/>
      <c r="BZ8" s="26"/>
      <c r="CA8" s="26"/>
      <c r="CB8" s="26"/>
      <c r="CC8" s="26"/>
      <c r="CD8" s="26"/>
      <c r="CE8" s="26"/>
      <c r="CF8" s="26"/>
      <c r="CG8" s="26"/>
      <c r="CH8" s="26"/>
      <c r="CI8" s="26"/>
      <c r="CJ8" s="26"/>
      <c r="CK8" s="26"/>
      <c r="CL8" s="26"/>
      <c r="CM8" s="26"/>
      <c r="CN8" s="26"/>
      <c r="CO8" s="26"/>
      <c r="CP8" s="26"/>
      <c r="CQ8" s="26"/>
      <c r="CR8" s="26"/>
      <c r="CS8" s="26"/>
      <c r="CT8" s="26"/>
      <c r="CU8" s="26"/>
      <c r="CV8" s="26"/>
      <c r="CW8" s="26"/>
      <c r="CX8" s="26"/>
      <c r="CY8" s="26"/>
      <c r="CZ8" s="26"/>
      <c r="DA8" s="26"/>
      <c r="DB8" s="26"/>
      <c r="DC8" s="26"/>
      <c r="DD8" s="26"/>
    </row>
    <row r="9" spans="1:108" x14ac:dyDescent="0.2">
      <c r="A9" s="11" t="s">
        <v>62</v>
      </c>
      <c r="B9" s="12">
        <v>0.08</v>
      </c>
      <c r="D9" s="23" t="s">
        <v>58</v>
      </c>
      <c r="E9" s="19">
        <v>60</v>
      </c>
      <c r="F9" s="20">
        <v>72</v>
      </c>
      <c r="H9" s="27">
        <f t="shared" si="0"/>
        <v>7</v>
      </c>
      <c r="I9">
        <v>120</v>
      </c>
      <c r="J9">
        <v>140</v>
      </c>
      <c r="K9">
        <v>5</v>
      </c>
      <c r="L9">
        <v>80</v>
      </c>
      <c r="M9">
        <v>96</v>
      </c>
      <c r="N9">
        <v>50</v>
      </c>
      <c r="O9">
        <v>80</v>
      </c>
      <c r="P9">
        <v>120</v>
      </c>
      <c r="Q9">
        <v>30</v>
      </c>
      <c r="R9">
        <v>120</v>
      </c>
      <c r="S9">
        <v>20</v>
      </c>
      <c r="T9">
        <v>30</v>
      </c>
      <c r="U9">
        <v>20</v>
      </c>
      <c r="V9">
        <v>120</v>
      </c>
      <c r="W9">
        <v>35</v>
      </c>
      <c r="X9">
        <v>35</v>
      </c>
      <c r="Y9">
        <v>60</v>
      </c>
      <c r="Z9">
        <v>42</v>
      </c>
      <c r="AA9">
        <v>30</v>
      </c>
      <c r="AB9">
        <v>168</v>
      </c>
      <c r="AC9">
        <v>24</v>
      </c>
      <c r="AD9">
        <v>20</v>
      </c>
      <c r="AE9">
        <v>30</v>
      </c>
      <c r="AF9">
        <v>30</v>
      </c>
      <c r="AG9">
        <v>96</v>
      </c>
      <c r="AH9">
        <v>42</v>
      </c>
      <c r="AI9">
        <v>42</v>
      </c>
      <c r="AJ9">
        <v>35</v>
      </c>
      <c r="AK9">
        <v>25</v>
      </c>
      <c r="AL9">
        <v>70</v>
      </c>
      <c r="AM9">
        <v>80</v>
      </c>
      <c r="AN9">
        <v>5</v>
      </c>
      <c r="AO9">
        <v>120</v>
      </c>
      <c r="AP9">
        <v>42</v>
      </c>
      <c r="AQ9">
        <v>80</v>
      </c>
      <c r="AR9">
        <v>240</v>
      </c>
      <c r="AS9">
        <v>100</v>
      </c>
      <c r="AT9">
        <v>80</v>
      </c>
      <c r="AU9">
        <v>20</v>
      </c>
      <c r="AV9">
        <v>120</v>
      </c>
      <c r="AW9">
        <v>42</v>
      </c>
      <c r="AX9">
        <v>100</v>
      </c>
      <c r="AY9">
        <v>24</v>
      </c>
      <c r="AZ9">
        <v>120</v>
      </c>
      <c r="BA9">
        <v>20</v>
      </c>
      <c r="BB9">
        <v>140</v>
      </c>
      <c r="BC9">
        <v>42</v>
      </c>
      <c r="BD9">
        <v>25</v>
      </c>
      <c r="BE9">
        <v>30</v>
      </c>
      <c r="BF9">
        <v>35</v>
      </c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  <c r="CE9" s="26"/>
      <c r="CF9" s="26"/>
      <c r="CG9" s="26"/>
      <c r="CH9" s="26"/>
      <c r="CI9" s="26"/>
      <c r="CJ9" s="26"/>
      <c r="CK9" s="26"/>
      <c r="CL9" s="26"/>
      <c r="CM9" s="26"/>
      <c r="CN9" s="26"/>
      <c r="CO9" s="26"/>
      <c r="CP9" s="26"/>
      <c r="CQ9" s="26"/>
      <c r="CR9" s="26"/>
      <c r="CS9" s="26"/>
      <c r="CT9" s="26"/>
      <c r="CU9" s="26"/>
      <c r="CV9" s="26"/>
      <c r="CW9" s="26"/>
      <c r="CX9" s="26"/>
      <c r="CY9" s="26"/>
      <c r="CZ9" s="26"/>
      <c r="DA9" s="26"/>
      <c r="DB9" s="26"/>
      <c r="DC9" s="26"/>
      <c r="DD9" s="26"/>
    </row>
    <row r="10" spans="1:108" x14ac:dyDescent="0.2">
      <c r="A10" s="11" t="s">
        <v>64</v>
      </c>
      <c r="B10" s="12">
        <v>0.01</v>
      </c>
      <c r="D10" s="23" t="s">
        <v>54</v>
      </c>
      <c r="E10" s="19">
        <v>100</v>
      </c>
      <c r="F10" s="20">
        <v>120</v>
      </c>
      <c r="H10" s="27">
        <f t="shared" si="0"/>
        <v>8</v>
      </c>
      <c r="I10">
        <v>35</v>
      </c>
      <c r="J10">
        <v>24</v>
      </c>
      <c r="K10">
        <v>100</v>
      </c>
      <c r="L10">
        <v>42</v>
      </c>
      <c r="M10">
        <v>42</v>
      </c>
      <c r="N10">
        <v>30</v>
      </c>
      <c r="O10">
        <v>35</v>
      </c>
      <c r="P10">
        <v>35</v>
      </c>
      <c r="Q10">
        <v>25</v>
      </c>
      <c r="R10">
        <v>25</v>
      </c>
      <c r="S10">
        <v>35</v>
      </c>
      <c r="T10">
        <v>42</v>
      </c>
      <c r="U10">
        <v>70</v>
      </c>
      <c r="V10">
        <v>24</v>
      </c>
      <c r="W10">
        <v>35</v>
      </c>
      <c r="X10">
        <v>200</v>
      </c>
      <c r="Y10">
        <v>100</v>
      </c>
      <c r="Z10">
        <v>25</v>
      </c>
      <c r="AA10">
        <v>168</v>
      </c>
      <c r="AB10">
        <v>80</v>
      </c>
      <c r="AC10">
        <v>42</v>
      </c>
      <c r="AD10">
        <v>20</v>
      </c>
      <c r="AE10">
        <v>25</v>
      </c>
      <c r="AF10">
        <v>35</v>
      </c>
      <c r="AG10">
        <v>30</v>
      </c>
      <c r="AH10">
        <v>20</v>
      </c>
      <c r="AI10">
        <v>30</v>
      </c>
      <c r="AJ10">
        <v>20</v>
      </c>
      <c r="AK10">
        <v>80</v>
      </c>
      <c r="AL10">
        <v>35</v>
      </c>
      <c r="AM10">
        <v>120</v>
      </c>
      <c r="AN10">
        <v>100</v>
      </c>
      <c r="AO10">
        <v>42</v>
      </c>
      <c r="AP10">
        <v>80</v>
      </c>
      <c r="AQ10">
        <v>200</v>
      </c>
      <c r="AR10">
        <v>100</v>
      </c>
      <c r="AS10">
        <v>35</v>
      </c>
      <c r="AT10">
        <v>42</v>
      </c>
      <c r="AU10">
        <v>35</v>
      </c>
      <c r="AV10">
        <v>84</v>
      </c>
      <c r="AW10">
        <v>80</v>
      </c>
      <c r="AX10">
        <v>20</v>
      </c>
      <c r="AY10">
        <v>20</v>
      </c>
      <c r="AZ10">
        <v>35</v>
      </c>
      <c r="BA10">
        <v>100</v>
      </c>
      <c r="BB10">
        <v>100</v>
      </c>
      <c r="BC10">
        <v>120</v>
      </c>
      <c r="BD10">
        <v>35</v>
      </c>
      <c r="BE10">
        <v>140</v>
      </c>
      <c r="BF10">
        <v>168</v>
      </c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  <c r="CE10" s="26"/>
      <c r="CF10" s="26"/>
      <c r="CG10" s="26"/>
      <c r="CH10" s="26"/>
      <c r="CI10" s="26"/>
      <c r="CJ10" s="26"/>
      <c r="CK10" s="26"/>
      <c r="CL10" s="26"/>
      <c r="CM10" s="26"/>
      <c r="CN10" s="26"/>
      <c r="CO10" s="26"/>
      <c r="CP10" s="26"/>
      <c r="CQ10" s="26"/>
      <c r="CR10" s="26"/>
      <c r="CS10" s="26"/>
      <c r="CT10" s="26"/>
      <c r="CU10" s="26"/>
      <c r="CV10" s="26"/>
      <c r="CW10" s="26"/>
      <c r="CX10" s="26"/>
      <c r="CY10" s="26"/>
      <c r="CZ10" s="26"/>
      <c r="DA10" s="26"/>
      <c r="DB10" s="26"/>
      <c r="DC10" s="26"/>
      <c r="DD10" s="26"/>
    </row>
    <row r="11" spans="1:108" x14ac:dyDescent="0.2">
      <c r="A11" s="11" t="s">
        <v>58</v>
      </c>
      <c r="B11" s="12">
        <v>0.01</v>
      </c>
      <c r="D11" s="23" t="s">
        <v>63</v>
      </c>
      <c r="E11" s="19">
        <v>20</v>
      </c>
      <c r="F11" s="20">
        <v>24</v>
      </c>
      <c r="H11" s="27">
        <f t="shared" si="0"/>
        <v>9</v>
      </c>
      <c r="I11">
        <v>35</v>
      </c>
      <c r="J11">
        <v>35</v>
      </c>
      <c r="K11">
        <v>42</v>
      </c>
      <c r="L11">
        <v>24</v>
      </c>
      <c r="M11">
        <v>35</v>
      </c>
      <c r="N11">
        <v>168</v>
      </c>
      <c r="O11">
        <v>84</v>
      </c>
      <c r="P11">
        <v>100</v>
      </c>
      <c r="Q11">
        <v>35</v>
      </c>
      <c r="R11">
        <v>20</v>
      </c>
      <c r="S11">
        <v>96</v>
      </c>
      <c r="T11">
        <v>50</v>
      </c>
      <c r="U11">
        <v>120</v>
      </c>
      <c r="V11">
        <v>100</v>
      </c>
      <c r="W11">
        <v>120</v>
      </c>
      <c r="X11">
        <v>25</v>
      </c>
      <c r="Y11">
        <v>84</v>
      </c>
      <c r="Z11">
        <v>30</v>
      </c>
      <c r="AA11">
        <v>42</v>
      </c>
      <c r="AB11">
        <v>42</v>
      </c>
      <c r="AC11">
        <v>100</v>
      </c>
      <c r="AD11">
        <v>35</v>
      </c>
      <c r="AE11">
        <v>24</v>
      </c>
      <c r="AF11">
        <v>30</v>
      </c>
      <c r="AG11">
        <v>168</v>
      </c>
      <c r="AH11">
        <v>42</v>
      </c>
      <c r="AI11">
        <v>35</v>
      </c>
      <c r="AJ11">
        <v>42</v>
      </c>
      <c r="AK11">
        <v>42</v>
      </c>
      <c r="AL11">
        <v>25</v>
      </c>
      <c r="AM11">
        <v>24</v>
      </c>
      <c r="AN11">
        <v>140</v>
      </c>
      <c r="AO11">
        <v>200</v>
      </c>
      <c r="AP11">
        <v>25</v>
      </c>
      <c r="AQ11">
        <v>168</v>
      </c>
      <c r="AR11">
        <v>20</v>
      </c>
      <c r="AS11">
        <v>80</v>
      </c>
      <c r="AT11">
        <v>80</v>
      </c>
      <c r="AU11">
        <v>100</v>
      </c>
      <c r="AV11">
        <v>24</v>
      </c>
      <c r="AW11">
        <v>25</v>
      </c>
      <c r="AX11">
        <v>35</v>
      </c>
      <c r="AY11">
        <v>140</v>
      </c>
      <c r="AZ11">
        <v>80</v>
      </c>
      <c r="BA11">
        <v>30</v>
      </c>
      <c r="BB11">
        <v>42</v>
      </c>
      <c r="BC11">
        <v>20</v>
      </c>
      <c r="BD11">
        <v>168</v>
      </c>
      <c r="BE11">
        <v>35</v>
      </c>
      <c r="BF11">
        <v>42</v>
      </c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K11" s="26"/>
      <c r="CL11" s="26"/>
      <c r="CM11" s="26"/>
      <c r="CN11" s="26"/>
      <c r="CO11" s="26"/>
      <c r="CP11" s="26"/>
      <c r="CQ11" s="26"/>
      <c r="CR11" s="26"/>
      <c r="CS11" s="26"/>
      <c r="CT11" s="26"/>
      <c r="CU11" s="26"/>
      <c r="CV11" s="26"/>
      <c r="CW11" s="26"/>
      <c r="CX11" s="26"/>
      <c r="CY11" s="26"/>
      <c r="CZ11" s="26"/>
      <c r="DA11" s="26"/>
      <c r="DB11" s="26"/>
      <c r="DC11" s="26"/>
      <c r="DD11" s="26"/>
    </row>
    <row r="12" spans="1:108" x14ac:dyDescent="0.2">
      <c r="A12" s="11" t="s">
        <v>54</v>
      </c>
      <c r="B12" s="12">
        <v>6.5000000000000002E-2</v>
      </c>
      <c r="D12" s="23" t="s">
        <v>60</v>
      </c>
      <c r="E12" s="19">
        <v>35</v>
      </c>
      <c r="F12" s="20">
        <v>42</v>
      </c>
      <c r="H12" s="27">
        <f t="shared" si="0"/>
        <v>10</v>
      </c>
      <c r="I12">
        <v>140</v>
      </c>
      <c r="J12">
        <v>100</v>
      </c>
      <c r="K12">
        <v>20</v>
      </c>
      <c r="L12">
        <v>20</v>
      </c>
      <c r="M12">
        <v>25</v>
      </c>
      <c r="N12">
        <v>20</v>
      </c>
      <c r="O12">
        <v>120</v>
      </c>
      <c r="P12">
        <v>24</v>
      </c>
      <c r="Q12">
        <v>24</v>
      </c>
      <c r="R12">
        <v>80</v>
      </c>
      <c r="S12">
        <v>42</v>
      </c>
      <c r="T12">
        <v>35</v>
      </c>
      <c r="U12">
        <v>35</v>
      </c>
      <c r="V12">
        <v>24</v>
      </c>
      <c r="W12">
        <v>35</v>
      </c>
      <c r="X12">
        <v>42</v>
      </c>
      <c r="Y12">
        <v>84</v>
      </c>
      <c r="Z12">
        <v>100</v>
      </c>
      <c r="AA12">
        <v>140</v>
      </c>
      <c r="AB12">
        <v>168</v>
      </c>
      <c r="AC12">
        <v>100</v>
      </c>
      <c r="AD12">
        <v>140</v>
      </c>
      <c r="AE12">
        <v>42</v>
      </c>
      <c r="AF12">
        <v>100</v>
      </c>
      <c r="AG12">
        <v>25</v>
      </c>
      <c r="AH12">
        <v>20</v>
      </c>
      <c r="AI12">
        <v>35</v>
      </c>
      <c r="AJ12">
        <v>35</v>
      </c>
      <c r="AK12">
        <v>35</v>
      </c>
      <c r="AL12">
        <v>96</v>
      </c>
      <c r="AM12">
        <v>100</v>
      </c>
      <c r="AN12">
        <v>120</v>
      </c>
      <c r="AO12">
        <v>70</v>
      </c>
      <c r="AP12">
        <v>35</v>
      </c>
      <c r="AQ12">
        <v>20</v>
      </c>
      <c r="AR12">
        <v>42</v>
      </c>
      <c r="AS12">
        <v>35</v>
      </c>
      <c r="AT12">
        <v>35</v>
      </c>
      <c r="AU12">
        <v>42</v>
      </c>
      <c r="AV12">
        <v>25</v>
      </c>
      <c r="AW12">
        <v>20</v>
      </c>
      <c r="AX12">
        <v>42</v>
      </c>
      <c r="AY12">
        <v>42</v>
      </c>
      <c r="AZ12">
        <v>20</v>
      </c>
      <c r="BA12">
        <v>120</v>
      </c>
      <c r="BB12">
        <v>200</v>
      </c>
      <c r="BC12">
        <v>42</v>
      </c>
      <c r="BD12">
        <v>100</v>
      </c>
      <c r="BE12">
        <v>140</v>
      </c>
      <c r="BF12">
        <v>100</v>
      </c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26"/>
      <c r="CW12" s="26"/>
      <c r="CX12" s="26"/>
      <c r="CY12" s="26"/>
      <c r="CZ12" s="26"/>
      <c r="DA12" s="26"/>
      <c r="DB12" s="26"/>
      <c r="DC12" s="26"/>
      <c r="DD12" s="26"/>
    </row>
    <row r="13" spans="1:108" x14ac:dyDescent="0.2">
      <c r="A13" s="11" t="s">
        <v>63</v>
      </c>
      <c r="B13" s="12">
        <v>0.1</v>
      </c>
      <c r="D13" s="23" t="s">
        <v>51</v>
      </c>
      <c r="E13" s="19">
        <v>200</v>
      </c>
      <c r="F13" s="20">
        <v>240</v>
      </c>
      <c r="H13" s="27">
        <f t="shared" si="0"/>
        <v>11</v>
      </c>
      <c r="I13">
        <v>120</v>
      </c>
      <c r="J13">
        <v>80</v>
      </c>
      <c r="K13">
        <v>35</v>
      </c>
      <c r="L13">
        <v>20</v>
      </c>
      <c r="M13">
        <v>168</v>
      </c>
      <c r="N13">
        <v>80</v>
      </c>
      <c r="O13">
        <v>140</v>
      </c>
      <c r="P13">
        <v>140</v>
      </c>
      <c r="Q13">
        <v>100</v>
      </c>
      <c r="R13">
        <v>20</v>
      </c>
      <c r="S13">
        <v>140</v>
      </c>
      <c r="T13">
        <v>168</v>
      </c>
      <c r="U13">
        <v>30</v>
      </c>
      <c r="V13">
        <v>20</v>
      </c>
      <c r="W13">
        <v>140</v>
      </c>
      <c r="X13">
        <v>140</v>
      </c>
      <c r="Y13">
        <v>100</v>
      </c>
      <c r="Z13">
        <v>84</v>
      </c>
      <c r="AA13">
        <v>20</v>
      </c>
      <c r="AB13">
        <v>24</v>
      </c>
      <c r="AC13">
        <v>30</v>
      </c>
      <c r="AD13">
        <v>25</v>
      </c>
      <c r="AE13">
        <v>120</v>
      </c>
      <c r="AF13">
        <v>96</v>
      </c>
      <c r="AG13">
        <v>20</v>
      </c>
      <c r="AH13">
        <v>42</v>
      </c>
      <c r="AI13">
        <v>35</v>
      </c>
      <c r="AJ13">
        <v>120</v>
      </c>
      <c r="AK13">
        <v>72</v>
      </c>
      <c r="AL13">
        <v>42</v>
      </c>
      <c r="AM13">
        <v>35</v>
      </c>
      <c r="AN13">
        <v>20</v>
      </c>
      <c r="AO13">
        <v>35</v>
      </c>
      <c r="AP13">
        <v>120</v>
      </c>
      <c r="AQ13">
        <v>24</v>
      </c>
      <c r="AR13">
        <v>140</v>
      </c>
      <c r="AS13">
        <v>42</v>
      </c>
      <c r="AT13">
        <v>20</v>
      </c>
      <c r="AU13">
        <v>140</v>
      </c>
      <c r="AV13">
        <v>80</v>
      </c>
      <c r="AW13">
        <v>84</v>
      </c>
      <c r="AX13">
        <v>25</v>
      </c>
      <c r="AY13">
        <v>20</v>
      </c>
      <c r="AZ13">
        <v>24</v>
      </c>
      <c r="BA13">
        <v>20</v>
      </c>
      <c r="BB13">
        <v>120</v>
      </c>
      <c r="BC13">
        <v>140</v>
      </c>
      <c r="BD13">
        <v>42</v>
      </c>
      <c r="BE13">
        <v>80</v>
      </c>
      <c r="BF13">
        <v>70</v>
      </c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26"/>
      <c r="CW13" s="26"/>
      <c r="CX13" s="26"/>
      <c r="CY13" s="26"/>
      <c r="CZ13" s="26"/>
      <c r="DA13" s="26"/>
      <c r="DB13" s="26"/>
      <c r="DC13" s="26"/>
      <c r="DD13" s="26"/>
    </row>
    <row r="14" spans="1:108" x14ac:dyDescent="0.2">
      <c r="A14" s="11" t="s">
        <v>60</v>
      </c>
      <c r="B14" s="12">
        <v>0.3</v>
      </c>
      <c r="D14" s="23" t="s">
        <v>59</v>
      </c>
      <c r="E14" s="19">
        <v>50</v>
      </c>
      <c r="F14" s="20">
        <v>60</v>
      </c>
      <c r="H14" s="27">
        <f t="shared" si="0"/>
        <v>12</v>
      </c>
      <c r="I14">
        <v>20</v>
      </c>
      <c r="J14">
        <v>100</v>
      </c>
      <c r="K14">
        <v>35</v>
      </c>
      <c r="L14">
        <v>35</v>
      </c>
      <c r="M14">
        <v>42</v>
      </c>
      <c r="N14">
        <v>42</v>
      </c>
      <c r="O14">
        <v>35</v>
      </c>
      <c r="P14">
        <v>168</v>
      </c>
      <c r="Q14">
        <v>100</v>
      </c>
      <c r="R14">
        <v>30</v>
      </c>
      <c r="S14">
        <v>42</v>
      </c>
      <c r="T14">
        <v>30</v>
      </c>
      <c r="U14">
        <v>24</v>
      </c>
      <c r="V14">
        <v>42</v>
      </c>
      <c r="W14">
        <v>30</v>
      </c>
      <c r="X14">
        <v>24</v>
      </c>
      <c r="Y14">
        <v>24</v>
      </c>
      <c r="Z14">
        <v>25</v>
      </c>
      <c r="AA14">
        <v>120</v>
      </c>
      <c r="AB14">
        <v>20</v>
      </c>
      <c r="AC14">
        <v>20</v>
      </c>
      <c r="AD14">
        <v>240</v>
      </c>
      <c r="AE14">
        <v>80</v>
      </c>
      <c r="AF14">
        <v>42</v>
      </c>
      <c r="AG14">
        <v>60</v>
      </c>
      <c r="AH14">
        <v>168</v>
      </c>
      <c r="AI14">
        <v>24</v>
      </c>
      <c r="AJ14">
        <v>35</v>
      </c>
      <c r="AK14">
        <v>24</v>
      </c>
      <c r="AL14">
        <v>120</v>
      </c>
      <c r="AM14">
        <v>96</v>
      </c>
      <c r="AN14">
        <v>20</v>
      </c>
      <c r="AO14">
        <v>20</v>
      </c>
      <c r="AP14">
        <v>42</v>
      </c>
      <c r="AQ14">
        <v>35</v>
      </c>
      <c r="AR14">
        <v>140</v>
      </c>
      <c r="AS14">
        <v>100</v>
      </c>
      <c r="AT14">
        <v>84</v>
      </c>
      <c r="AU14">
        <v>120</v>
      </c>
      <c r="AV14">
        <v>200</v>
      </c>
      <c r="AW14">
        <v>80</v>
      </c>
      <c r="AX14">
        <v>20</v>
      </c>
      <c r="AY14">
        <v>80</v>
      </c>
      <c r="AZ14">
        <v>35</v>
      </c>
      <c r="BA14">
        <v>25</v>
      </c>
      <c r="BB14">
        <v>120</v>
      </c>
      <c r="BC14">
        <v>24</v>
      </c>
      <c r="BD14">
        <v>140</v>
      </c>
      <c r="BE14">
        <v>35</v>
      </c>
      <c r="BF14">
        <v>168</v>
      </c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26"/>
      <c r="CO14" s="26"/>
      <c r="CP14" s="26"/>
      <c r="CQ14" s="26"/>
      <c r="CR14" s="26"/>
      <c r="CS14" s="26"/>
      <c r="CT14" s="26"/>
      <c r="CU14" s="26"/>
      <c r="CV14" s="26"/>
      <c r="CW14" s="26"/>
      <c r="CX14" s="26"/>
      <c r="CY14" s="26"/>
      <c r="CZ14" s="26"/>
      <c r="DA14" s="26"/>
      <c r="DB14" s="26"/>
      <c r="DC14" s="26"/>
      <c r="DD14" s="26"/>
    </row>
    <row r="15" spans="1:108" x14ac:dyDescent="0.2">
      <c r="A15" s="11" t="s">
        <v>51</v>
      </c>
      <c r="B15" s="12">
        <v>0.03</v>
      </c>
      <c r="D15" s="23" t="s">
        <v>61</v>
      </c>
      <c r="E15" s="19">
        <v>25</v>
      </c>
      <c r="F15" s="20">
        <v>30</v>
      </c>
      <c r="H15" s="27">
        <f t="shared" si="0"/>
        <v>13</v>
      </c>
      <c r="I15">
        <v>24</v>
      </c>
      <c r="J15">
        <v>84</v>
      </c>
      <c r="K15">
        <v>25</v>
      </c>
      <c r="L15">
        <v>140</v>
      </c>
      <c r="M15">
        <v>80</v>
      </c>
      <c r="N15">
        <v>30</v>
      </c>
      <c r="O15">
        <v>20</v>
      </c>
      <c r="P15">
        <v>20</v>
      </c>
      <c r="Q15">
        <v>140</v>
      </c>
      <c r="R15">
        <v>168</v>
      </c>
      <c r="S15">
        <v>20</v>
      </c>
      <c r="T15">
        <v>42</v>
      </c>
      <c r="U15">
        <v>20</v>
      </c>
      <c r="V15">
        <v>42</v>
      </c>
      <c r="W15">
        <v>25</v>
      </c>
      <c r="X15">
        <v>35</v>
      </c>
      <c r="Y15">
        <v>35</v>
      </c>
      <c r="Z15">
        <v>96</v>
      </c>
      <c r="AA15">
        <v>60</v>
      </c>
      <c r="AB15">
        <v>30</v>
      </c>
      <c r="AC15">
        <v>42</v>
      </c>
      <c r="AD15">
        <v>35</v>
      </c>
      <c r="AE15">
        <v>25</v>
      </c>
      <c r="AF15">
        <v>35</v>
      </c>
      <c r="AG15">
        <v>25</v>
      </c>
      <c r="AH15">
        <v>140</v>
      </c>
      <c r="AI15">
        <v>42</v>
      </c>
      <c r="AJ15">
        <v>70</v>
      </c>
      <c r="AK15">
        <v>140</v>
      </c>
      <c r="AL15">
        <v>35</v>
      </c>
      <c r="AM15">
        <v>25</v>
      </c>
      <c r="AN15">
        <v>30</v>
      </c>
      <c r="AO15">
        <v>84</v>
      </c>
      <c r="AP15">
        <v>35</v>
      </c>
      <c r="AQ15">
        <v>20</v>
      </c>
      <c r="AR15">
        <v>100</v>
      </c>
      <c r="AS15">
        <v>120</v>
      </c>
      <c r="AT15">
        <v>80</v>
      </c>
      <c r="AU15">
        <v>84</v>
      </c>
      <c r="AV15">
        <v>100</v>
      </c>
      <c r="AW15">
        <v>140</v>
      </c>
      <c r="AX15">
        <v>100</v>
      </c>
      <c r="AY15">
        <v>168</v>
      </c>
      <c r="AZ15">
        <v>20</v>
      </c>
      <c r="BA15">
        <v>100</v>
      </c>
      <c r="BB15">
        <v>35</v>
      </c>
      <c r="BC15">
        <v>120</v>
      </c>
      <c r="BD15">
        <v>20</v>
      </c>
      <c r="BE15">
        <v>168</v>
      </c>
      <c r="BF15">
        <v>42</v>
      </c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  <c r="CV15" s="26"/>
      <c r="CW15" s="26"/>
      <c r="CX15" s="26"/>
      <c r="CY15" s="26"/>
      <c r="CZ15" s="26"/>
      <c r="DA15" s="26"/>
      <c r="DB15" s="26"/>
      <c r="DC15" s="26"/>
      <c r="DD15" s="26"/>
    </row>
    <row r="16" spans="1:108" x14ac:dyDescent="0.2">
      <c r="A16" s="11" t="s">
        <v>59</v>
      </c>
      <c r="B16" s="12">
        <v>5.0000000000000001E-3</v>
      </c>
      <c r="D16" s="23" t="s">
        <v>52</v>
      </c>
      <c r="E16" s="19">
        <v>140</v>
      </c>
      <c r="F16" s="20">
        <v>168</v>
      </c>
      <c r="H16" s="27">
        <f t="shared" si="0"/>
        <v>14</v>
      </c>
      <c r="I16">
        <v>35</v>
      </c>
      <c r="J16">
        <v>35</v>
      </c>
      <c r="K16">
        <v>140</v>
      </c>
      <c r="L16">
        <v>42</v>
      </c>
      <c r="M16">
        <v>20</v>
      </c>
      <c r="N16">
        <v>20</v>
      </c>
      <c r="O16">
        <v>35</v>
      </c>
      <c r="P16">
        <v>70</v>
      </c>
      <c r="Q16">
        <v>70</v>
      </c>
      <c r="R16">
        <v>25</v>
      </c>
      <c r="S16">
        <v>20</v>
      </c>
      <c r="T16">
        <v>42</v>
      </c>
      <c r="U16">
        <v>140</v>
      </c>
      <c r="V16">
        <v>24</v>
      </c>
      <c r="W16">
        <v>35</v>
      </c>
      <c r="X16">
        <v>120</v>
      </c>
      <c r="Y16">
        <v>25</v>
      </c>
      <c r="Z16">
        <v>120</v>
      </c>
      <c r="AA16">
        <v>120</v>
      </c>
      <c r="AB16">
        <v>50</v>
      </c>
      <c r="AC16">
        <v>25</v>
      </c>
      <c r="AD16">
        <v>42</v>
      </c>
      <c r="AE16">
        <v>30</v>
      </c>
      <c r="AF16">
        <v>42</v>
      </c>
      <c r="AG16">
        <v>35</v>
      </c>
      <c r="AH16">
        <v>25</v>
      </c>
      <c r="AI16">
        <v>35</v>
      </c>
      <c r="AJ16">
        <v>80</v>
      </c>
      <c r="AK16">
        <v>35</v>
      </c>
      <c r="AL16">
        <v>35</v>
      </c>
      <c r="AM16">
        <v>20</v>
      </c>
      <c r="AN16">
        <v>168</v>
      </c>
      <c r="AO16">
        <v>24</v>
      </c>
      <c r="AP16">
        <v>42</v>
      </c>
      <c r="AQ16">
        <v>35</v>
      </c>
      <c r="AR16">
        <v>35</v>
      </c>
      <c r="AS16">
        <v>168</v>
      </c>
      <c r="AT16">
        <v>168</v>
      </c>
      <c r="AU16">
        <v>120</v>
      </c>
      <c r="AV16">
        <v>24</v>
      </c>
      <c r="AW16">
        <v>35</v>
      </c>
      <c r="AX16">
        <v>84</v>
      </c>
      <c r="AY16">
        <v>35</v>
      </c>
      <c r="AZ16">
        <v>50</v>
      </c>
      <c r="BA16">
        <v>100</v>
      </c>
      <c r="BB16">
        <v>35</v>
      </c>
      <c r="BC16">
        <v>20</v>
      </c>
      <c r="BD16">
        <v>25</v>
      </c>
      <c r="BE16">
        <v>35</v>
      </c>
      <c r="BF16">
        <v>35</v>
      </c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26"/>
      <c r="CP16" s="26"/>
      <c r="CQ16" s="26"/>
      <c r="CR16" s="26"/>
      <c r="CS16" s="26"/>
      <c r="CT16" s="26"/>
      <c r="CU16" s="26"/>
      <c r="CV16" s="26"/>
      <c r="CW16" s="26"/>
      <c r="CX16" s="26"/>
      <c r="CY16" s="26"/>
      <c r="CZ16" s="26"/>
      <c r="DA16" s="26"/>
      <c r="DB16" s="26"/>
      <c r="DC16" s="26"/>
      <c r="DD16" s="26"/>
    </row>
    <row r="17" spans="1:108" x14ac:dyDescent="0.2">
      <c r="A17" s="11" t="s">
        <v>61</v>
      </c>
      <c r="B17" s="12">
        <v>0.1</v>
      </c>
      <c r="D17" s="24" t="s">
        <v>55</v>
      </c>
      <c r="E17" s="21">
        <v>100</v>
      </c>
      <c r="F17" s="22">
        <v>120</v>
      </c>
      <c r="H17" s="27">
        <f t="shared" si="0"/>
        <v>15</v>
      </c>
      <c r="I17">
        <v>35</v>
      </c>
      <c r="J17">
        <v>24</v>
      </c>
      <c r="K17">
        <v>42</v>
      </c>
      <c r="L17">
        <v>35</v>
      </c>
      <c r="M17">
        <v>100</v>
      </c>
      <c r="N17">
        <v>20</v>
      </c>
      <c r="O17">
        <v>80</v>
      </c>
      <c r="P17">
        <v>24</v>
      </c>
      <c r="Q17">
        <v>70</v>
      </c>
      <c r="R17">
        <v>50</v>
      </c>
      <c r="S17">
        <v>35</v>
      </c>
      <c r="T17">
        <v>20</v>
      </c>
      <c r="U17">
        <v>35</v>
      </c>
      <c r="V17">
        <v>35</v>
      </c>
      <c r="W17">
        <v>25</v>
      </c>
      <c r="X17">
        <v>35</v>
      </c>
      <c r="Y17">
        <v>140</v>
      </c>
      <c r="Z17">
        <v>24</v>
      </c>
      <c r="AA17">
        <v>200</v>
      </c>
      <c r="AB17">
        <v>140</v>
      </c>
      <c r="AC17">
        <v>35</v>
      </c>
      <c r="AD17">
        <v>84</v>
      </c>
      <c r="AE17">
        <v>35</v>
      </c>
      <c r="AF17">
        <v>96</v>
      </c>
      <c r="AG17">
        <v>100</v>
      </c>
      <c r="AH17">
        <v>100</v>
      </c>
      <c r="AI17">
        <v>120</v>
      </c>
      <c r="AJ17">
        <v>20</v>
      </c>
      <c r="AK17">
        <v>25</v>
      </c>
      <c r="AL17">
        <v>100</v>
      </c>
      <c r="AM17">
        <v>200</v>
      </c>
      <c r="AN17">
        <v>35</v>
      </c>
      <c r="AO17">
        <v>35</v>
      </c>
      <c r="AP17">
        <v>42</v>
      </c>
      <c r="AQ17">
        <v>42</v>
      </c>
      <c r="AR17">
        <v>24</v>
      </c>
      <c r="AS17">
        <v>42</v>
      </c>
      <c r="AT17">
        <v>120</v>
      </c>
      <c r="AU17">
        <v>80</v>
      </c>
      <c r="AV17">
        <v>140</v>
      </c>
      <c r="AW17">
        <v>20</v>
      </c>
      <c r="AX17">
        <v>70</v>
      </c>
      <c r="AY17">
        <v>140</v>
      </c>
      <c r="AZ17">
        <v>80</v>
      </c>
      <c r="BA17">
        <v>35</v>
      </c>
      <c r="BB17">
        <v>70</v>
      </c>
      <c r="BC17">
        <v>25</v>
      </c>
      <c r="BD17">
        <v>30</v>
      </c>
      <c r="BE17">
        <v>25</v>
      </c>
      <c r="BF17">
        <v>20</v>
      </c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26"/>
      <c r="CP17" s="26"/>
      <c r="CQ17" s="26"/>
      <c r="CR17" s="26"/>
      <c r="CS17" s="26"/>
      <c r="CT17" s="26"/>
      <c r="CU17" s="26"/>
      <c r="CV17" s="26"/>
      <c r="CW17" s="26"/>
      <c r="CX17" s="26"/>
      <c r="CY17" s="26"/>
      <c r="CZ17" s="26"/>
      <c r="DA17" s="26"/>
      <c r="DB17" s="26"/>
      <c r="DC17" s="26"/>
      <c r="DD17" s="26"/>
    </row>
    <row r="18" spans="1:108" x14ac:dyDescent="0.2">
      <c r="A18" s="11" t="s">
        <v>52</v>
      </c>
      <c r="B18" s="12">
        <v>0.09</v>
      </c>
      <c r="H18" s="27">
        <f t="shared" si="0"/>
        <v>16</v>
      </c>
      <c r="I18">
        <v>84</v>
      </c>
      <c r="J18">
        <v>80</v>
      </c>
      <c r="K18">
        <v>35</v>
      </c>
      <c r="L18">
        <v>42</v>
      </c>
      <c r="M18">
        <v>35</v>
      </c>
      <c r="N18">
        <v>42</v>
      </c>
      <c r="O18">
        <v>42</v>
      </c>
      <c r="P18">
        <v>100</v>
      </c>
      <c r="Q18">
        <v>30</v>
      </c>
      <c r="R18">
        <v>84</v>
      </c>
      <c r="S18">
        <v>42</v>
      </c>
      <c r="T18">
        <v>120</v>
      </c>
      <c r="U18">
        <v>140</v>
      </c>
      <c r="V18">
        <v>168</v>
      </c>
      <c r="W18">
        <v>20</v>
      </c>
      <c r="X18">
        <v>30</v>
      </c>
      <c r="Y18">
        <v>140</v>
      </c>
      <c r="Z18">
        <v>20</v>
      </c>
      <c r="AA18">
        <v>35</v>
      </c>
      <c r="AB18">
        <v>35</v>
      </c>
      <c r="AC18">
        <v>120</v>
      </c>
      <c r="AD18">
        <v>20</v>
      </c>
      <c r="AE18">
        <v>20</v>
      </c>
      <c r="AF18">
        <v>24</v>
      </c>
      <c r="AG18">
        <v>96</v>
      </c>
      <c r="AH18">
        <v>120</v>
      </c>
      <c r="AI18">
        <v>70</v>
      </c>
      <c r="AJ18">
        <v>42</v>
      </c>
      <c r="AK18">
        <v>20</v>
      </c>
      <c r="AL18">
        <v>35</v>
      </c>
      <c r="AM18">
        <v>100</v>
      </c>
      <c r="AN18">
        <v>80</v>
      </c>
      <c r="AO18">
        <v>140</v>
      </c>
      <c r="AP18">
        <v>35</v>
      </c>
      <c r="AQ18">
        <v>42</v>
      </c>
      <c r="AR18">
        <v>96</v>
      </c>
      <c r="AS18">
        <v>42</v>
      </c>
      <c r="AT18">
        <v>100</v>
      </c>
      <c r="AU18">
        <v>120</v>
      </c>
      <c r="AV18">
        <v>25</v>
      </c>
      <c r="AW18">
        <v>35</v>
      </c>
      <c r="AX18">
        <v>42</v>
      </c>
      <c r="AY18">
        <v>20</v>
      </c>
      <c r="AZ18">
        <v>70</v>
      </c>
      <c r="BA18">
        <v>96</v>
      </c>
      <c r="BB18">
        <v>42</v>
      </c>
      <c r="BC18">
        <v>24</v>
      </c>
      <c r="BD18">
        <v>20</v>
      </c>
      <c r="BE18">
        <v>30</v>
      </c>
      <c r="BF18">
        <v>25</v>
      </c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26"/>
      <c r="CP18" s="26"/>
      <c r="CQ18" s="26"/>
      <c r="CR18" s="26"/>
      <c r="CS18" s="26"/>
      <c r="CT18" s="26"/>
      <c r="CU18" s="26"/>
      <c r="CV18" s="26"/>
      <c r="CW18" s="26"/>
      <c r="CX18" s="26"/>
      <c r="CY18" s="26"/>
      <c r="CZ18" s="26"/>
      <c r="DA18" s="26"/>
      <c r="DB18" s="26"/>
      <c r="DC18" s="26"/>
      <c r="DD18" s="26"/>
    </row>
    <row r="19" spans="1:108" x14ac:dyDescent="0.2">
      <c r="A19" s="11" t="s">
        <v>55</v>
      </c>
      <c r="B19" s="12">
        <v>0.04</v>
      </c>
      <c r="H19" s="27">
        <f t="shared" si="0"/>
        <v>17</v>
      </c>
      <c r="I19">
        <v>60</v>
      </c>
      <c r="J19">
        <v>24</v>
      </c>
      <c r="K19">
        <v>42</v>
      </c>
      <c r="L19">
        <v>25</v>
      </c>
      <c r="M19">
        <v>35</v>
      </c>
      <c r="N19">
        <v>100</v>
      </c>
      <c r="O19">
        <v>100</v>
      </c>
      <c r="P19">
        <v>24</v>
      </c>
      <c r="Q19">
        <v>20</v>
      </c>
      <c r="R19">
        <v>35</v>
      </c>
      <c r="S19">
        <v>100</v>
      </c>
      <c r="T19">
        <v>42</v>
      </c>
      <c r="U19">
        <v>30</v>
      </c>
      <c r="V19">
        <v>25</v>
      </c>
      <c r="W19">
        <v>30</v>
      </c>
      <c r="X19">
        <v>24</v>
      </c>
      <c r="Y19">
        <v>30</v>
      </c>
      <c r="Z19">
        <v>140</v>
      </c>
      <c r="AA19">
        <v>20</v>
      </c>
      <c r="AB19">
        <v>20</v>
      </c>
      <c r="AC19">
        <v>120</v>
      </c>
      <c r="AD19">
        <v>42</v>
      </c>
      <c r="AE19">
        <v>35</v>
      </c>
      <c r="AF19">
        <v>100</v>
      </c>
      <c r="AG19">
        <v>42</v>
      </c>
      <c r="AH19">
        <v>20</v>
      </c>
      <c r="AI19">
        <v>42</v>
      </c>
      <c r="AJ19">
        <v>70</v>
      </c>
      <c r="AK19">
        <v>35</v>
      </c>
      <c r="AL19">
        <v>20</v>
      </c>
      <c r="AM19">
        <v>100</v>
      </c>
      <c r="AN19">
        <v>120</v>
      </c>
      <c r="AO19">
        <v>100</v>
      </c>
      <c r="AP19">
        <v>120</v>
      </c>
      <c r="AQ19">
        <v>42</v>
      </c>
      <c r="AR19">
        <v>30</v>
      </c>
      <c r="AS19">
        <v>30</v>
      </c>
      <c r="AT19">
        <v>35</v>
      </c>
      <c r="AU19">
        <v>140</v>
      </c>
      <c r="AV19">
        <v>35</v>
      </c>
      <c r="AW19">
        <v>96</v>
      </c>
      <c r="AX19">
        <v>168</v>
      </c>
      <c r="AY19">
        <v>35</v>
      </c>
      <c r="AZ19">
        <v>24</v>
      </c>
      <c r="BA19">
        <v>120</v>
      </c>
      <c r="BB19">
        <v>80</v>
      </c>
      <c r="BC19">
        <v>30</v>
      </c>
      <c r="BD19">
        <v>100</v>
      </c>
      <c r="BE19">
        <v>35</v>
      </c>
      <c r="BF19">
        <v>168</v>
      </c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</row>
    <row r="20" spans="1:108" x14ac:dyDescent="0.2">
      <c r="H20" s="27">
        <f t="shared" si="0"/>
        <v>18</v>
      </c>
      <c r="I20">
        <v>240</v>
      </c>
      <c r="J20">
        <v>42</v>
      </c>
      <c r="K20">
        <v>20</v>
      </c>
      <c r="L20">
        <v>24</v>
      </c>
      <c r="M20">
        <v>20</v>
      </c>
      <c r="N20">
        <v>42</v>
      </c>
      <c r="O20">
        <v>30</v>
      </c>
      <c r="P20">
        <v>30</v>
      </c>
      <c r="Q20">
        <v>200</v>
      </c>
      <c r="R20">
        <v>35</v>
      </c>
      <c r="S20">
        <v>30</v>
      </c>
      <c r="T20">
        <v>200</v>
      </c>
      <c r="U20">
        <v>84</v>
      </c>
      <c r="V20">
        <v>20</v>
      </c>
      <c r="W20">
        <v>50</v>
      </c>
      <c r="X20">
        <v>70</v>
      </c>
      <c r="Y20">
        <v>120</v>
      </c>
      <c r="Z20">
        <v>24</v>
      </c>
      <c r="AA20">
        <v>42</v>
      </c>
      <c r="AB20">
        <v>70</v>
      </c>
      <c r="AC20">
        <v>42</v>
      </c>
      <c r="AD20">
        <v>35</v>
      </c>
      <c r="AE20">
        <v>42</v>
      </c>
      <c r="AF20">
        <v>35</v>
      </c>
      <c r="AG20">
        <v>42</v>
      </c>
      <c r="AH20">
        <v>168</v>
      </c>
      <c r="AI20">
        <v>140</v>
      </c>
      <c r="AJ20">
        <v>35</v>
      </c>
      <c r="AK20">
        <v>100</v>
      </c>
      <c r="AL20">
        <v>84</v>
      </c>
      <c r="AM20">
        <v>42</v>
      </c>
      <c r="AN20">
        <v>35</v>
      </c>
      <c r="AO20">
        <v>80</v>
      </c>
      <c r="AP20">
        <v>20</v>
      </c>
      <c r="AQ20">
        <v>70</v>
      </c>
      <c r="AR20">
        <v>200</v>
      </c>
      <c r="AS20">
        <v>100</v>
      </c>
      <c r="AT20">
        <v>25</v>
      </c>
      <c r="AU20">
        <v>35</v>
      </c>
      <c r="AV20">
        <v>168</v>
      </c>
      <c r="AW20">
        <v>120</v>
      </c>
      <c r="AX20">
        <v>30</v>
      </c>
      <c r="AY20">
        <v>96</v>
      </c>
      <c r="AZ20">
        <v>25</v>
      </c>
      <c r="BA20">
        <v>20</v>
      </c>
      <c r="BB20">
        <v>42</v>
      </c>
      <c r="BC20">
        <v>140</v>
      </c>
      <c r="BD20">
        <v>100</v>
      </c>
      <c r="BE20">
        <v>120</v>
      </c>
      <c r="BF20">
        <v>35</v>
      </c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26"/>
      <c r="CP20" s="26"/>
      <c r="CQ20" s="26"/>
      <c r="CR20" s="26"/>
      <c r="CS20" s="26"/>
      <c r="CT20" s="26"/>
      <c r="CU20" s="26"/>
      <c r="CV20" s="26"/>
      <c r="CW20" s="26"/>
      <c r="CX20" s="26"/>
      <c r="CY20" s="26"/>
      <c r="CZ20" s="26"/>
      <c r="DA20" s="26"/>
      <c r="DB20" s="26"/>
      <c r="DC20" s="26"/>
      <c r="DD20" s="26"/>
    </row>
    <row r="21" spans="1:108" x14ac:dyDescent="0.2">
      <c r="H21" s="27">
        <f t="shared" si="0"/>
        <v>19</v>
      </c>
      <c r="I21">
        <v>35</v>
      </c>
      <c r="J21">
        <v>35</v>
      </c>
      <c r="K21">
        <v>35</v>
      </c>
      <c r="L21">
        <v>42</v>
      </c>
      <c r="M21">
        <v>35</v>
      </c>
      <c r="N21">
        <v>42</v>
      </c>
      <c r="O21">
        <v>35</v>
      </c>
      <c r="P21">
        <v>70</v>
      </c>
      <c r="Q21">
        <v>96</v>
      </c>
      <c r="R21">
        <v>30</v>
      </c>
      <c r="S21">
        <v>42</v>
      </c>
      <c r="T21">
        <v>120</v>
      </c>
      <c r="U21">
        <v>120</v>
      </c>
      <c r="V21">
        <v>168</v>
      </c>
      <c r="W21">
        <v>25</v>
      </c>
      <c r="X21">
        <v>96</v>
      </c>
      <c r="Y21">
        <v>20</v>
      </c>
      <c r="Z21">
        <v>35</v>
      </c>
      <c r="AA21">
        <v>25</v>
      </c>
      <c r="AB21">
        <v>20</v>
      </c>
      <c r="AC21">
        <v>5</v>
      </c>
      <c r="AD21">
        <v>25</v>
      </c>
      <c r="AE21">
        <v>70</v>
      </c>
      <c r="AF21">
        <v>120</v>
      </c>
      <c r="AG21">
        <v>200</v>
      </c>
      <c r="AH21">
        <v>120</v>
      </c>
      <c r="AI21">
        <v>84</v>
      </c>
      <c r="AJ21">
        <v>24</v>
      </c>
      <c r="AK21">
        <v>120</v>
      </c>
      <c r="AL21">
        <v>20</v>
      </c>
      <c r="AM21">
        <v>20</v>
      </c>
      <c r="AN21">
        <v>24</v>
      </c>
      <c r="AO21">
        <v>120</v>
      </c>
      <c r="AP21">
        <v>80</v>
      </c>
      <c r="AQ21">
        <v>35</v>
      </c>
      <c r="AR21">
        <v>35</v>
      </c>
      <c r="AS21">
        <v>42</v>
      </c>
      <c r="AT21">
        <v>140</v>
      </c>
      <c r="AU21">
        <v>42</v>
      </c>
      <c r="AV21">
        <v>30</v>
      </c>
      <c r="AW21">
        <v>240</v>
      </c>
      <c r="AX21">
        <v>120</v>
      </c>
      <c r="AY21">
        <v>42</v>
      </c>
      <c r="AZ21">
        <v>100</v>
      </c>
      <c r="BA21">
        <v>24</v>
      </c>
      <c r="BB21">
        <v>96</v>
      </c>
      <c r="BC21">
        <v>140</v>
      </c>
      <c r="BD21">
        <v>100</v>
      </c>
      <c r="BE21">
        <v>35</v>
      </c>
      <c r="BF21">
        <v>30</v>
      </c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26"/>
      <c r="CW21" s="26"/>
      <c r="CX21" s="26"/>
      <c r="CY21" s="26"/>
      <c r="CZ21" s="26"/>
      <c r="DA21" s="26"/>
      <c r="DB21" s="26"/>
      <c r="DC21" s="26"/>
      <c r="DD21" s="26"/>
    </row>
    <row r="22" spans="1:108" x14ac:dyDescent="0.2">
      <c r="H22" s="27">
        <f t="shared" si="0"/>
        <v>20</v>
      </c>
      <c r="I22">
        <v>70</v>
      </c>
      <c r="J22">
        <v>35</v>
      </c>
      <c r="K22">
        <v>42</v>
      </c>
      <c r="L22">
        <v>100</v>
      </c>
      <c r="M22">
        <v>24</v>
      </c>
      <c r="N22">
        <v>200</v>
      </c>
      <c r="O22">
        <v>25</v>
      </c>
      <c r="P22">
        <v>240</v>
      </c>
      <c r="Q22">
        <v>25</v>
      </c>
      <c r="R22">
        <v>35</v>
      </c>
      <c r="S22">
        <v>140</v>
      </c>
      <c r="T22">
        <v>24</v>
      </c>
      <c r="U22">
        <v>35</v>
      </c>
      <c r="V22">
        <v>140</v>
      </c>
      <c r="W22">
        <v>20</v>
      </c>
      <c r="X22">
        <v>25</v>
      </c>
      <c r="Y22">
        <v>84</v>
      </c>
      <c r="Z22">
        <v>120</v>
      </c>
      <c r="AA22">
        <v>25</v>
      </c>
      <c r="AB22">
        <v>24</v>
      </c>
      <c r="AC22">
        <v>84</v>
      </c>
      <c r="AD22">
        <v>80</v>
      </c>
      <c r="AE22">
        <v>20</v>
      </c>
      <c r="AF22">
        <v>100</v>
      </c>
      <c r="AG22">
        <v>200</v>
      </c>
      <c r="AH22">
        <v>20</v>
      </c>
      <c r="AI22">
        <v>120</v>
      </c>
      <c r="AJ22">
        <v>42</v>
      </c>
      <c r="AK22">
        <v>24</v>
      </c>
      <c r="AL22">
        <v>80</v>
      </c>
      <c r="AM22">
        <v>24</v>
      </c>
      <c r="AN22">
        <v>42</v>
      </c>
      <c r="AO22">
        <v>35</v>
      </c>
      <c r="AP22">
        <v>30</v>
      </c>
      <c r="AQ22">
        <v>84</v>
      </c>
      <c r="AR22">
        <v>42</v>
      </c>
      <c r="AS22">
        <v>120</v>
      </c>
      <c r="AT22">
        <v>35</v>
      </c>
      <c r="AU22">
        <v>35</v>
      </c>
      <c r="AV22">
        <v>35</v>
      </c>
      <c r="AW22">
        <v>20</v>
      </c>
      <c r="AX22">
        <v>100</v>
      </c>
      <c r="AY22">
        <v>35</v>
      </c>
      <c r="AZ22">
        <v>25</v>
      </c>
      <c r="BA22">
        <v>20</v>
      </c>
      <c r="BB22">
        <v>35</v>
      </c>
      <c r="BC22">
        <v>25</v>
      </c>
      <c r="BD22">
        <v>42</v>
      </c>
      <c r="BE22">
        <v>120</v>
      </c>
      <c r="BF22">
        <v>140</v>
      </c>
      <c r="BG22" s="26"/>
      <c r="BH22" s="26"/>
      <c r="BI22" s="26"/>
      <c r="BJ22" s="26"/>
      <c r="BK22" s="26"/>
      <c r="BL22" s="26"/>
      <c r="BM22" s="26"/>
      <c r="BN22" s="26"/>
      <c r="BO22" s="26"/>
      <c r="BP22" s="26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26"/>
      <c r="CP22" s="26"/>
      <c r="CQ22" s="26"/>
      <c r="CR22" s="26"/>
      <c r="CS22" s="26"/>
      <c r="CT22" s="26"/>
      <c r="CU22" s="26"/>
      <c r="CV22" s="26"/>
      <c r="CW22" s="26"/>
      <c r="CX22" s="26"/>
      <c r="CY22" s="26"/>
      <c r="CZ22" s="26"/>
      <c r="DA22" s="26"/>
      <c r="DB22" s="26"/>
      <c r="DC22" s="26"/>
      <c r="DD22" s="26"/>
    </row>
    <row r="23" spans="1:108" x14ac:dyDescent="0.2">
      <c r="H23" s="27">
        <f t="shared" si="0"/>
        <v>21</v>
      </c>
      <c r="I23">
        <v>120</v>
      </c>
      <c r="J23">
        <v>140</v>
      </c>
      <c r="K23">
        <v>120</v>
      </c>
      <c r="L23">
        <v>200</v>
      </c>
      <c r="M23">
        <v>200</v>
      </c>
      <c r="N23">
        <v>100</v>
      </c>
      <c r="O23">
        <v>35</v>
      </c>
      <c r="P23">
        <v>60</v>
      </c>
      <c r="Q23">
        <v>84</v>
      </c>
      <c r="R23">
        <v>35</v>
      </c>
      <c r="S23">
        <v>100</v>
      </c>
      <c r="T23">
        <v>42</v>
      </c>
      <c r="U23">
        <v>100</v>
      </c>
      <c r="V23">
        <v>168</v>
      </c>
      <c r="W23">
        <v>100</v>
      </c>
      <c r="X23">
        <v>35</v>
      </c>
      <c r="Y23">
        <v>80</v>
      </c>
      <c r="Z23">
        <v>35</v>
      </c>
      <c r="AA23">
        <v>20</v>
      </c>
      <c r="AB23">
        <v>20</v>
      </c>
      <c r="AC23">
        <v>20</v>
      </c>
      <c r="AD23">
        <v>70</v>
      </c>
      <c r="AE23">
        <v>140</v>
      </c>
      <c r="AF23">
        <v>100</v>
      </c>
      <c r="AG23">
        <v>24</v>
      </c>
      <c r="AH23">
        <v>35</v>
      </c>
      <c r="AI23">
        <v>35</v>
      </c>
      <c r="AJ23">
        <v>35</v>
      </c>
      <c r="AK23">
        <v>30</v>
      </c>
      <c r="AL23">
        <v>5</v>
      </c>
      <c r="AM23">
        <v>35</v>
      </c>
      <c r="AN23">
        <v>84</v>
      </c>
      <c r="AO23">
        <v>24</v>
      </c>
      <c r="AP23">
        <v>100</v>
      </c>
      <c r="AQ23">
        <v>240</v>
      </c>
      <c r="AR23">
        <v>25</v>
      </c>
      <c r="AS23">
        <v>84</v>
      </c>
      <c r="AT23">
        <v>24</v>
      </c>
      <c r="AU23">
        <v>35</v>
      </c>
      <c r="AV23">
        <v>25</v>
      </c>
      <c r="AW23">
        <v>120</v>
      </c>
      <c r="AX23">
        <v>35</v>
      </c>
      <c r="AY23">
        <v>24</v>
      </c>
      <c r="AZ23">
        <v>20</v>
      </c>
      <c r="BA23">
        <v>20</v>
      </c>
      <c r="BB23">
        <v>25</v>
      </c>
      <c r="BC23">
        <v>20</v>
      </c>
      <c r="BD23">
        <v>100</v>
      </c>
      <c r="BE23">
        <v>24</v>
      </c>
      <c r="BF23">
        <v>70</v>
      </c>
      <c r="BG23" s="26"/>
      <c r="BH23" s="26"/>
      <c r="BI23" s="26"/>
      <c r="BJ23" s="26"/>
      <c r="BK23" s="26"/>
      <c r="BL23" s="26"/>
      <c r="BM23" s="26"/>
      <c r="BN23" s="26"/>
      <c r="BO23" s="26"/>
      <c r="BP23" s="26"/>
      <c r="BQ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26"/>
      <c r="CP23" s="26"/>
      <c r="CQ23" s="26"/>
      <c r="CR23" s="26"/>
      <c r="CS23" s="26"/>
      <c r="CT23" s="26"/>
      <c r="CU23" s="26"/>
      <c r="CV23" s="26"/>
      <c r="CW23" s="26"/>
      <c r="CX23" s="26"/>
      <c r="CY23" s="26"/>
      <c r="CZ23" s="26"/>
      <c r="DA23" s="26"/>
      <c r="DB23" s="26"/>
      <c r="DC23" s="26"/>
      <c r="DD23" s="26"/>
    </row>
    <row r="24" spans="1:108" x14ac:dyDescent="0.2">
      <c r="H24" s="27">
        <f t="shared" si="0"/>
        <v>22</v>
      </c>
      <c r="I24">
        <v>42</v>
      </c>
      <c r="J24">
        <v>35</v>
      </c>
      <c r="K24">
        <v>240</v>
      </c>
      <c r="L24">
        <v>20</v>
      </c>
      <c r="M24">
        <v>35</v>
      </c>
      <c r="N24">
        <v>168</v>
      </c>
      <c r="O24">
        <v>80</v>
      </c>
      <c r="P24">
        <v>120</v>
      </c>
      <c r="Q24">
        <v>140</v>
      </c>
      <c r="R24">
        <v>20</v>
      </c>
      <c r="S24">
        <v>30</v>
      </c>
      <c r="T24">
        <v>42</v>
      </c>
      <c r="U24">
        <v>140</v>
      </c>
      <c r="V24">
        <v>42</v>
      </c>
      <c r="W24">
        <v>84</v>
      </c>
      <c r="X24">
        <v>42</v>
      </c>
      <c r="Y24">
        <v>140</v>
      </c>
      <c r="Z24">
        <v>20</v>
      </c>
      <c r="AA24">
        <v>35</v>
      </c>
      <c r="AB24">
        <v>25</v>
      </c>
      <c r="AC24">
        <v>168</v>
      </c>
      <c r="AD24">
        <v>100</v>
      </c>
      <c r="AE24">
        <v>120</v>
      </c>
      <c r="AF24">
        <v>168</v>
      </c>
      <c r="AG24">
        <v>70</v>
      </c>
      <c r="AH24">
        <v>140</v>
      </c>
      <c r="AI24">
        <v>25</v>
      </c>
      <c r="AJ24">
        <v>42</v>
      </c>
      <c r="AK24">
        <v>100</v>
      </c>
      <c r="AL24">
        <v>42</v>
      </c>
      <c r="AM24">
        <v>42</v>
      </c>
      <c r="AN24">
        <v>60</v>
      </c>
      <c r="AO24">
        <v>24</v>
      </c>
      <c r="AP24">
        <v>20</v>
      </c>
      <c r="AQ24">
        <v>35</v>
      </c>
      <c r="AR24">
        <v>35</v>
      </c>
      <c r="AS24">
        <v>35</v>
      </c>
      <c r="AT24">
        <v>42</v>
      </c>
      <c r="AU24">
        <v>100</v>
      </c>
      <c r="AV24">
        <v>35</v>
      </c>
      <c r="AW24">
        <v>30</v>
      </c>
      <c r="AX24">
        <v>24</v>
      </c>
      <c r="AY24">
        <v>35</v>
      </c>
      <c r="AZ24">
        <v>84</v>
      </c>
      <c r="BA24">
        <v>20</v>
      </c>
      <c r="BB24">
        <v>35</v>
      </c>
      <c r="BC24">
        <v>25</v>
      </c>
      <c r="BD24">
        <v>200</v>
      </c>
      <c r="BE24">
        <v>35</v>
      </c>
      <c r="BF24">
        <v>100</v>
      </c>
      <c r="BG24" s="26"/>
      <c r="BH24" s="26"/>
      <c r="BI24" s="26"/>
      <c r="BJ24" s="26"/>
      <c r="BK24" s="26"/>
      <c r="BL24" s="26"/>
      <c r="BM24" s="26"/>
      <c r="BN24" s="26"/>
      <c r="BO24" s="26"/>
      <c r="BP24" s="26"/>
      <c r="BQ24" s="26"/>
      <c r="BR24" s="26"/>
      <c r="BS24" s="26"/>
      <c r="BT24" s="26"/>
      <c r="BU24" s="26"/>
      <c r="BV24" s="26"/>
      <c r="BW24" s="26"/>
      <c r="BX24" s="26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26"/>
      <c r="CW24" s="26"/>
      <c r="CX24" s="26"/>
      <c r="CY24" s="26"/>
      <c r="CZ24" s="26"/>
      <c r="DA24" s="26"/>
      <c r="DB24" s="26"/>
      <c r="DC24" s="26"/>
      <c r="DD24" s="26"/>
    </row>
    <row r="25" spans="1:108" x14ac:dyDescent="0.2">
      <c r="H25" s="27">
        <f t="shared" si="0"/>
        <v>23</v>
      </c>
      <c r="I25">
        <v>25</v>
      </c>
      <c r="J25">
        <v>84</v>
      </c>
      <c r="K25">
        <v>80</v>
      </c>
      <c r="L25">
        <v>35</v>
      </c>
      <c r="M25">
        <v>42</v>
      </c>
      <c r="N25">
        <v>25</v>
      </c>
      <c r="O25">
        <v>100</v>
      </c>
      <c r="P25">
        <v>84</v>
      </c>
      <c r="Q25">
        <v>100</v>
      </c>
      <c r="R25">
        <v>42</v>
      </c>
      <c r="S25">
        <v>24</v>
      </c>
      <c r="T25">
        <v>24</v>
      </c>
      <c r="U25">
        <v>96</v>
      </c>
      <c r="V25">
        <v>42</v>
      </c>
      <c r="W25">
        <v>24</v>
      </c>
      <c r="X25">
        <v>20</v>
      </c>
      <c r="Y25">
        <v>35</v>
      </c>
      <c r="Z25">
        <v>168</v>
      </c>
      <c r="AA25">
        <v>96</v>
      </c>
      <c r="AB25">
        <v>120</v>
      </c>
      <c r="AC25">
        <v>100</v>
      </c>
      <c r="AD25">
        <v>200</v>
      </c>
      <c r="AE25">
        <v>35</v>
      </c>
      <c r="AF25">
        <v>24</v>
      </c>
      <c r="AG25">
        <v>35</v>
      </c>
      <c r="AH25">
        <v>35</v>
      </c>
      <c r="AI25">
        <v>35</v>
      </c>
      <c r="AJ25">
        <v>140</v>
      </c>
      <c r="AK25">
        <v>120</v>
      </c>
      <c r="AL25">
        <v>42</v>
      </c>
      <c r="AM25">
        <v>35</v>
      </c>
      <c r="AN25">
        <v>100</v>
      </c>
      <c r="AO25">
        <v>100</v>
      </c>
      <c r="AP25">
        <v>42</v>
      </c>
      <c r="AQ25">
        <v>35</v>
      </c>
      <c r="AR25">
        <v>100</v>
      </c>
      <c r="AS25">
        <v>240</v>
      </c>
      <c r="AT25">
        <v>42</v>
      </c>
      <c r="AU25">
        <v>100</v>
      </c>
      <c r="AV25">
        <v>24</v>
      </c>
      <c r="AW25">
        <v>25</v>
      </c>
      <c r="AX25">
        <v>20</v>
      </c>
      <c r="AY25">
        <v>25</v>
      </c>
      <c r="AZ25">
        <v>20</v>
      </c>
      <c r="BA25">
        <v>35</v>
      </c>
      <c r="BB25">
        <v>168</v>
      </c>
      <c r="BC25">
        <v>42</v>
      </c>
      <c r="BD25">
        <v>120</v>
      </c>
      <c r="BE25">
        <v>120</v>
      </c>
      <c r="BF25">
        <v>35</v>
      </c>
      <c r="BG25" s="26"/>
      <c r="BH25" s="26"/>
      <c r="BI25" s="26"/>
      <c r="BJ25" s="26"/>
      <c r="BK25" s="26"/>
      <c r="BL25" s="26"/>
      <c r="BM25" s="26"/>
      <c r="BN25" s="26"/>
      <c r="BO25" s="26"/>
      <c r="BP25" s="26"/>
      <c r="BQ25" s="26"/>
      <c r="BR25" s="26"/>
      <c r="BS25" s="26"/>
      <c r="BT25" s="26"/>
      <c r="BU25" s="26"/>
      <c r="BV25" s="26"/>
      <c r="BW25" s="26"/>
      <c r="BX25" s="26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26"/>
      <c r="CP25" s="26"/>
      <c r="CQ25" s="26"/>
      <c r="CR25" s="26"/>
      <c r="CS25" s="26"/>
      <c r="CT25" s="26"/>
      <c r="CU25" s="26"/>
      <c r="CV25" s="26"/>
      <c r="CW25" s="26"/>
      <c r="CX25" s="26"/>
      <c r="CY25" s="26"/>
      <c r="CZ25" s="26"/>
      <c r="DA25" s="26"/>
      <c r="DB25" s="26"/>
      <c r="DC25" s="26"/>
      <c r="DD25" s="26"/>
    </row>
    <row r="26" spans="1:108" x14ac:dyDescent="0.2">
      <c r="H26" s="27">
        <f t="shared" si="0"/>
        <v>24</v>
      </c>
      <c r="I26">
        <v>42</v>
      </c>
      <c r="J26">
        <v>35</v>
      </c>
      <c r="K26">
        <v>70</v>
      </c>
      <c r="L26">
        <v>24</v>
      </c>
      <c r="M26">
        <v>24</v>
      </c>
      <c r="N26">
        <v>100</v>
      </c>
      <c r="O26">
        <v>70</v>
      </c>
      <c r="P26">
        <v>35</v>
      </c>
      <c r="Q26">
        <v>42</v>
      </c>
      <c r="R26">
        <v>24</v>
      </c>
      <c r="S26">
        <v>42</v>
      </c>
      <c r="T26">
        <v>24</v>
      </c>
      <c r="U26">
        <v>120</v>
      </c>
      <c r="V26">
        <v>30</v>
      </c>
      <c r="W26">
        <v>70</v>
      </c>
      <c r="X26">
        <v>70</v>
      </c>
      <c r="Y26">
        <v>35</v>
      </c>
      <c r="Z26">
        <v>100</v>
      </c>
      <c r="AA26">
        <v>20</v>
      </c>
      <c r="AB26">
        <v>24</v>
      </c>
      <c r="AC26">
        <v>35</v>
      </c>
      <c r="AD26">
        <v>100</v>
      </c>
      <c r="AE26">
        <v>42</v>
      </c>
      <c r="AF26">
        <v>168</v>
      </c>
      <c r="AG26">
        <v>100</v>
      </c>
      <c r="AH26">
        <v>30</v>
      </c>
      <c r="AI26">
        <v>96</v>
      </c>
      <c r="AJ26">
        <v>120</v>
      </c>
      <c r="AK26">
        <v>24</v>
      </c>
      <c r="AL26">
        <v>20</v>
      </c>
      <c r="AM26">
        <v>42</v>
      </c>
      <c r="AN26">
        <v>20</v>
      </c>
      <c r="AO26">
        <v>120</v>
      </c>
      <c r="AP26">
        <v>20</v>
      </c>
      <c r="AQ26">
        <v>60</v>
      </c>
      <c r="AR26">
        <v>20</v>
      </c>
      <c r="AS26">
        <v>6</v>
      </c>
      <c r="AT26">
        <v>24</v>
      </c>
      <c r="AU26">
        <v>100</v>
      </c>
      <c r="AV26">
        <v>35</v>
      </c>
      <c r="AW26">
        <v>60</v>
      </c>
      <c r="AX26">
        <v>42</v>
      </c>
      <c r="AY26">
        <v>140</v>
      </c>
      <c r="AZ26">
        <v>120</v>
      </c>
      <c r="BA26">
        <v>25</v>
      </c>
      <c r="BB26">
        <v>25</v>
      </c>
      <c r="BC26">
        <v>84</v>
      </c>
      <c r="BD26">
        <v>168</v>
      </c>
      <c r="BE26">
        <v>35</v>
      </c>
      <c r="BF26">
        <v>20</v>
      </c>
      <c r="BG26" s="26"/>
      <c r="BH26" s="26"/>
      <c r="BI26" s="26"/>
      <c r="BJ26" s="26"/>
      <c r="BK26" s="26"/>
      <c r="BL26" s="26"/>
      <c r="BM26" s="26"/>
      <c r="BN26" s="26"/>
      <c r="BO26" s="26"/>
      <c r="BP26" s="26"/>
      <c r="BQ26" s="26"/>
      <c r="BR26" s="26"/>
      <c r="BS26" s="26"/>
      <c r="BT26" s="26"/>
      <c r="BU26" s="26"/>
      <c r="BV26" s="26"/>
      <c r="BW26" s="26"/>
      <c r="BX26" s="26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26"/>
      <c r="CP26" s="26"/>
      <c r="CQ26" s="26"/>
      <c r="CR26" s="26"/>
      <c r="CS26" s="26"/>
      <c r="CT26" s="26"/>
      <c r="CU26" s="26"/>
      <c r="CV26" s="26"/>
      <c r="CW26" s="26"/>
      <c r="CX26" s="26"/>
      <c r="CY26" s="26"/>
      <c r="CZ26" s="26"/>
      <c r="DA26" s="26"/>
      <c r="DB26" s="26"/>
      <c r="DC26" s="26"/>
      <c r="DD26" s="26"/>
    </row>
    <row r="27" spans="1:108" x14ac:dyDescent="0.2">
      <c r="H27" s="27">
        <f t="shared" si="0"/>
        <v>25</v>
      </c>
      <c r="I27">
        <v>100</v>
      </c>
      <c r="J27">
        <v>24</v>
      </c>
      <c r="K27">
        <v>30</v>
      </c>
      <c r="L27">
        <v>140</v>
      </c>
      <c r="M27">
        <v>42</v>
      </c>
      <c r="N27">
        <v>24</v>
      </c>
      <c r="O27">
        <v>20</v>
      </c>
      <c r="P27">
        <v>30</v>
      </c>
      <c r="Q27">
        <v>80</v>
      </c>
      <c r="R27">
        <v>25</v>
      </c>
      <c r="S27">
        <v>84</v>
      </c>
      <c r="T27">
        <v>20</v>
      </c>
      <c r="U27">
        <v>100</v>
      </c>
      <c r="V27">
        <v>42</v>
      </c>
      <c r="W27">
        <v>120</v>
      </c>
      <c r="X27">
        <v>20</v>
      </c>
      <c r="Y27">
        <v>35</v>
      </c>
      <c r="Z27">
        <v>24</v>
      </c>
      <c r="AA27">
        <v>30</v>
      </c>
      <c r="AB27">
        <v>168</v>
      </c>
      <c r="AC27">
        <v>100</v>
      </c>
      <c r="AD27">
        <v>100</v>
      </c>
      <c r="AE27">
        <v>120</v>
      </c>
      <c r="AF27">
        <v>35</v>
      </c>
      <c r="AG27">
        <v>60</v>
      </c>
      <c r="AH27">
        <v>35</v>
      </c>
      <c r="AI27">
        <v>20</v>
      </c>
      <c r="AJ27">
        <v>80</v>
      </c>
      <c r="AK27">
        <v>120</v>
      </c>
      <c r="AL27">
        <v>70</v>
      </c>
      <c r="AM27">
        <v>42</v>
      </c>
      <c r="AN27">
        <v>70</v>
      </c>
      <c r="AO27">
        <v>80</v>
      </c>
      <c r="AP27">
        <v>24</v>
      </c>
      <c r="AQ27">
        <v>35</v>
      </c>
      <c r="AR27">
        <v>42</v>
      </c>
      <c r="AS27">
        <v>24</v>
      </c>
      <c r="AT27">
        <v>20</v>
      </c>
      <c r="AU27">
        <v>60</v>
      </c>
      <c r="AV27">
        <v>70</v>
      </c>
      <c r="AW27">
        <v>140</v>
      </c>
      <c r="AX27">
        <v>24</v>
      </c>
      <c r="AY27">
        <v>42</v>
      </c>
      <c r="AZ27">
        <v>20</v>
      </c>
      <c r="BA27">
        <v>35</v>
      </c>
      <c r="BB27">
        <v>100</v>
      </c>
      <c r="BC27">
        <v>25</v>
      </c>
      <c r="BD27">
        <v>120</v>
      </c>
      <c r="BE27">
        <v>168</v>
      </c>
      <c r="BF27">
        <v>25</v>
      </c>
      <c r="BG27" s="26"/>
      <c r="BH27" s="26"/>
      <c r="BI27" s="26"/>
      <c r="BJ27" s="26"/>
      <c r="BK27" s="26"/>
      <c r="BL27" s="26"/>
      <c r="BM27" s="26"/>
      <c r="BN27" s="26"/>
      <c r="BO27" s="26"/>
      <c r="BP27" s="26"/>
      <c r="BQ27" s="26"/>
      <c r="BR27" s="26"/>
      <c r="BS27" s="26"/>
      <c r="BT27" s="26"/>
      <c r="BU27" s="26"/>
      <c r="BV27" s="26"/>
      <c r="BW27" s="26"/>
      <c r="BX27" s="26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26"/>
      <c r="CW27" s="26"/>
      <c r="CX27" s="26"/>
      <c r="CY27" s="26"/>
      <c r="CZ27" s="26"/>
      <c r="DA27" s="26"/>
      <c r="DB27" s="26"/>
      <c r="DC27" s="26"/>
      <c r="DD27" s="26"/>
    </row>
    <row r="28" spans="1:108" x14ac:dyDescent="0.2">
      <c r="H28" s="27">
        <f t="shared" si="0"/>
        <v>26</v>
      </c>
      <c r="I28">
        <v>100</v>
      </c>
      <c r="J28">
        <v>168</v>
      </c>
      <c r="K28">
        <v>100</v>
      </c>
      <c r="L28">
        <v>60</v>
      </c>
      <c r="M28">
        <v>42</v>
      </c>
      <c r="N28">
        <v>35</v>
      </c>
      <c r="O28">
        <v>20</v>
      </c>
      <c r="P28">
        <v>70</v>
      </c>
      <c r="Q28">
        <v>24</v>
      </c>
      <c r="R28">
        <v>42</v>
      </c>
      <c r="S28">
        <v>42</v>
      </c>
      <c r="T28">
        <v>120</v>
      </c>
      <c r="U28">
        <v>20</v>
      </c>
      <c r="V28">
        <v>35</v>
      </c>
      <c r="W28">
        <v>5</v>
      </c>
      <c r="X28">
        <v>120</v>
      </c>
      <c r="Y28">
        <v>42</v>
      </c>
      <c r="Z28">
        <v>25</v>
      </c>
      <c r="AA28">
        <v>5</v>
      </c>
      <c r="AB28">
        <v>24</v>
      </c>
      <c r="AC28">
        <v>80</v>
      </c>
      <c r="AD28">
        <v>35</v>
      </c>
      <c r="AE28">
        <v>35</v>
      </c>
      <c r="AF28">
        <v>35</v>
      </c>
      <c r="AG28">
        <v>84</v>
      </c>
      <c r="AH28">
        <v>30</v>
      </c>
      <c r="AI28">
        <v>42</v>
      </c>
      <c r="AJ28">
        <v>30</v>
      </c>
      <c r="AK28">
        <v>20</v>
      </c>
      <c r="AL28">
        <v>84</v>
      </c>
      <c r="AM28">
        <v>140</v>
      </c>
      <c r="AN28">
        <v>70</v>
      </c>
      <c r="AO28">
        <v>140</v>
      </c>
      <c r="AP28">
        <v>140</v>
      </c>
      <c r="AQ28">
        <v>168</v>
      </c>
      <c r="AR28">
        <v>42</v>
      </c>
      <c r="AS28">
        <v>100</v>
      </c>
      <c r="AT28">
        <v>35</v>
      </c>
      <c r="AU28">
        <v>100</v>
      </c>
      <c r="AV28">
        <v>168</v>
      </c>
      <c r="AW28">
        <v>42</v>
      </c>
      <c r="AX28">
        <v>120</v>
      </c>
      <c r="AY28">
        <v>35</v>
      </c>
      <c r="AZ28">
        <v>35</v>
      </c>
      <c r="BA28">
        <v>60</v>
      </c>
      <c r="BB28">
        <v>42</v>
      </c>
      <c r="BC28">
        <v>24</v>
      </c>
      <c r="BD28">
        <v>42</v>
      </c>
      <c r="BE28">
        <v>120</v>
      </c>
      <c r="BF28">
        <v>24</v>
      </c>
      <c r="BG28" s="26"/>
      <c r="BH28" s="26"/>
      <c r="BI28" s="26"/>
      <c r="BJ28" s="26"/>
      <c r="BK28" s="26"/>
      <c r="BL28" s="26"/>
      <c r="BM28" s="26"/>
      <c r="BN28" s="26"/>
      <c r="BO28" s="26"/>
      <c r="BP28" s="26"/>
      <c r="BQ28" s="26"/>
      <c r="BR28" s="26"/>
      <c r="BS28" s="26"/>
      <c r="BT28" s="26"/>
      <c r="BU28" s="26"/>
      <c r="BV28" s="26"/>
      <c r="BW28" s="26"/>
      <c r="BX28" s="26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26"/>
      <c r="CW28" s="26"/>
      <c r="CX28" s="26"/>
      <c r="CY28" s="26"/>
      <c r="CZ28" s="26"/>
      <c r="DA28" s="26"/>
      <c r="DB28" s="26"/>
      <c r="DC28" s="26"/>
      <c r="DD28" s="26"/>
    </row>
    <row r="29" spans="1:108" x14ac:dyDescent="0.2">
      <c r="H29" s="27">
        <f t="shared" si="0"/>
        <v>27</v>
      </c>
      <c r="I29">
        <v>100</v>
      </c>
      <c r="J29">
        <v>42</v>
      </c>
      <c r="K29">
        <v>35</v>
      </c>
      <c r="L29">
        <v>80</v>
      </c>
      <c r="M29">
        <v>25</v>
      </c>
      <c r="N29">
        <v>30</v>
      </c>
      <c r="O29">
        <v>35</v>
      </c>
      <c r="P29">
        <v>240</v>
      </c>
      <c r="Q29">
        <v>20</v>
      </c>
      <c r="R29">
        <v>35</v>
      </c>
      <c r="S29">
        <v>80</v>
      </c>
      <c r="T29">
        <v>35</v>
      </c>
      <c r="U29">
        <v>35</v>
      </c>
      <c r="V29">
        <v>25</v>
      </c>
      <c r="W29">
        <v>42</v>
      </c>
      <c r="X29">
        <v>20</v>
      </c>
      <c r="Y29">
        <v>35</v>
      </c>
      <c r="Z29">
        <v>24</v>
      </c>
      <c r="AA29">
        <v>80</v>
      </c>
      <c r="AB29">
        <v>35</v>
      </c>
      <c r="AC29">
        <v>140</v>
      </c>
      <c r="AD29">
        <v>42</v>
      </c>
      <c r="AE29">
        <v>100</v>
      </c>
      <c r="AF29">
        <v>24</v>
      </c>
      <c r="AG29">
        <v>42</v>
      </c>
      <c r="AH29">
        <v>168</v>
      </c>
      <c r="AI29">
        <v>35</v>
      </c>
      <c r="AJ29">
        <v>140</v>
      </c>
      <c r="AK29">
        <v>42</v>
      </c>
      <c r="AL29">
        <v>25</v>
      </c>
      <c r="AM29">
        <v>100</v>
      </c>
      <c r="AN29">
        <v>168</v>
      </c>
      <c r="AO29">
        <v>20</v>
      </c>
      <c r="AP29">
        <v>24</v>
      </c>
      <c r="AQ29">
        <v>24</v>
      </c>
      <c r="AR29">
        <v>42</v>
      </c>
      <c r="AS29">
        <v>42</v>
      </c>
      <c r="AT29">
        <v>42</v>
      </c>
      <c r="AU29">
        <v>140</v>
      </c>
      <c r="AV29">
        <v>120</v>
      </c>
      <c r="AW29">
        <v>24</v>
      </c>
      <c r="AX29">
        <v>200</v>
      </c>
      <c r="AY29">
        <v>70</v>
      </c>
      <c r="AZ29">
        <v>200</v>
      </c>
      <c r="BA29">
        <v>30</v>
      </c>
      <c r="BB29">
        <v>20</v>
      </c>
      <c r="BC29">
        <v>20</v>
      </c>
      <c r="BD29">
        <v>42</v>
      </c>
      <c r="BE29">
        <v>100</v>
      </c>
      <c r="BF29">
        <v>35</v>
      </c>
      <c r="BG29" s="26"/>
      <c r="BH29" s="26"/>
      <c r="BI29" s="26"/>
      <c r="BJ29" s="26"/>
      <c r="BK29" s="26"/>
      <c r="BL29" s="26"/>
      <c r="BM29" s="26"/>
      <c r="BN29" s="26"/>
      <c r="BO29" s="26"/>
      <c r="BP29" s="26"/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26"/>
      <c r="CP29" s="26"/>
      <c r="CQ29" s="26"/>
      <c r="CR29" s="26"/>
      <c r="CS29" s="26"/>
      <c r="CT29" s="26"/>
      <c r="CU29" s="26"/>
      <c r="CV29" s="26"/>
      <c r="CW29" s="26"/>
      <c r="CX29" s="26"/>
      <c r="CY29" s="26"/>
      <c r="CZ29" s="26"/>
      <c r="DA29" s="26"/>
      <c r="DB29" s="26"/>
      <c r="DC29" s="26"/>
      <c r="DD29" s="26"/>
    </row>
    <row r="30" spans="1:108" x14ac:dyDescent="0.2">
      <c r="H30" s="27">
        <f t="shared" si="0"/>
        <v>28</v>
      </c>
      <c r="I30">
        <v>120</v>
      </c>
      <c r="J30">
        <v>20</v>
      </c>
      <c r="K30">
        <v>30</v>
      </c>
      <c r="L30">
        <v>35</v>
      </c>
      <c r="M30">
        <v>24</v>
      </c>
      <c r="N30">
        <v>42</v>
      </c>
      <c r="O30">
        <v>35</v>
      </c>
      <c r="P30">
        <v>35</v>
      </c>
      <c r="Q30">
        <v>120</v>
      </c>
      <c r="R30">
        <v>200</v>
      </c>
      <c r="S30">
        <v>100</v>
      </c>
      <c r="T30">
        <v>24</v>
      </c>
      <c r="U30">
        <v>140</v>
      </c>
      <c r="V30">
        <v>35</v>
      </c>
      <c r="W30">
        <v>42</v>
      </c>
      <c r="X30">
        <v>35</v>
      </c>
      <c r="Y30">
        <v>25</v>
      </c>
      <c r="Z30">
        <v>70</v>
      </c>
      <c r="AA30">
        <v>20</v>
      </c>
      <c r="AB30">
        <v>42</v>
      </c>
      <c r="AC30">
        <v>100</v>
      </c>
      <c r="AD30">
        <v>35</v>
      </c>
      <c r="AE30">
        <v>80</v>
      </c>
      <c r="AF30">
        <v>20</v>
      </c>
      <c r="AG30">
        <v>24</v>
      </c>
      <c r="AH30">
        <v>25</v>
      </c>
      <c r="AI30">
        <v>20</v>
      </c>
      <c r="AJ30">
        <v>72</v>
      </c>
      <c r="AK30">
        <v>42</v>
      </c>
      <c r="AL30">
        <v>42</v>
      </c>
      <c r="AM30">
        <v>42</v>
      </c>
      <c r="AN30">
        <v>42</v>
      </c>
      <c r="AO30">
        <v>20</v>
      </c>
      <c r="AP30">
        <v>25</v>
      </c>
      <c r="AQ30">
        <v>200</v>
      </c>
      <c r="AR30">
        <v>42</v>
      </c>
      <c r="AS30">
        <v>35</v>
      </c>
      <c r="AT30">
        <v>96</v>
      </c>
      <c r="AU30">
        <v>25</v>
      </c>
      <c r="AV30">
        <v>60</v>
      </c>
      <c r="AW30">
        <v>20</v>
      </c>
      <c r="AX30">
        <v>20</v>
      </c>
      <c r="AY30">
        <v>42</v>
      </c>
      <c r="AZ30">
        <v>100</v>
      </c>
      <c r="BA30">
        <v>42</v>
      </c>
      <c r="BB30">
        <v>25</v>
      </c>
      <c r="BC30">
        <v>42</v>
      </c>
      <c r="BD30">
        <v>25</v>
      </c>
      <c r="BE30">
        <v>42</v>
      </c>
      <c r="BF30">
        <v>20</v>
      </c>
      <c r="BG30" s="26"/>
      <c r="BH30" s="26"/>
      <c r="BI30" s="26"/>
      <c r="BJ30" s="26"/>
      <c r="BK30" s="26"/>
      <c r="BL30" s="26"/>
      <c r="BM30" s="26"/>
      <c r="BN30" s="26"/>
      <c r="BO30" s="26"/>
      <c r="BP30" s="26"/>
      <c r="BQ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26"/>
      <c r="CW30" s="26"/>
      <c r="CX30" s="26"/>
      <c r="CY30" s="26"/>
      <c r="CZ30" s="26"/>
      <c r="DA30" s="26"/>
      <c r="DB30" s="26"/>
      <c r="DC30" s="26"/>
      <c r="DD30" s="26"/>
    </row>
    <row r="31" spans="1:108" x14ac:dyDescent="0.2">
      <c r="H31" s="27">
        <f t="shared" si="0"/>
        <v>29</v>
      </c>
      <c r="I31">
        <v>60</v>
      </c>
      <c r="J31">
        <v>140</v>
      </c>
      <c r="K31">
        <v>100</v>
      </c>
      <c r="L31">
        <v>24</v>
      </c>
      <c r="M31">
        <v>96</v>
      </c>
      <c r="N31">
        <v>24</v>
      </c>
      <c r="O31">
        <v>35</v>
      </c>
      <c r="P31">
        <v>120</v>
      </c>
      <c r="Q31">
        <v>35</v>
      </c>
      <c r="R31">
        <v>20</v>
      </c>
      <c r="S31">
        <v>42</v>
      </c>
      <c r="T31">
        <v>120</v>
      </c>
      <c r="U31">
        <v>35</v>
      </c>
      <c r="V31">
        <v>24</v>
      </c>
      <c r="W31">
        <v>24</v>
      </c>
      <c r="X31">
        <v>42</v>
      </c>
      <c r="Y31">
        <v>96</v>
      </c>
      <c r="Z31">
        <v>100</v>
      </c>
      <c r="AA31">
        <v>80</v>
      </c>
      <c r="AB31">
        <v>240</v>
      </c>
      <c r="AC31">
        <v>30</v>
      </c>
      <c r="AD31">
        <v>35</v>
      </c>
      <c r="AE31">
        <v>84</v>
      </c>
      <c r="AF31">
        <v>240</v>
      </c>
      <c r="AG31">
        <v>80</v>
      </c>
      <c r="AH31">
        <v>5</v>
      </c>
      <c r="AI31">
        <v>42</v>
      </c>
      <c r="AJ31">
        <v>168</v>
      </c>
      <c r="AK31">
        <v>42</v>
      </c>
      <c r="AL31">
        <v>100</v>
      </c>
      <c r="AM31">
        <v>120</v>
      </c>
      <c r="AN31">
        <v>140</v>
      </c>
      <c r="AO31">
        <v>35</v>
      </c>
      <c r="AP31">
        <v>24</v>
      </c>
      <c r="AQ31">
        <v>84</v>
      </c>
      <c r="AR31">
        <v>140</v>
      </c>
      <c r="AS31">
        <v>140</v>
      </c>
      <c r="AT31">
        <v>35</v>
      </c>
      <c r="AU31">
        <v>140</v>
      </c>
      <c r="AV31">
        <v>42</v>
      </c>
      <c r="AW31">
        <v>80</v>
      </c>
      <c r="AX31">
        <v>70</v>
      </c>
      <c r="AY31">
        <v>24</v>
      </c>
      <c r="AZ31">
        <v>100</v>
      </c>
      <c r="BA31">
        <v>35</v>
      </c>
      <c r="BB31">
        <v>70</v>
      </c>
      <c r="BC31">
        <v>100</v>
      </c>
      <c r="BD31">
        <v>42</v>
      </c>
      <c r="BE31">
        <v>24</v>
      </c>
      <c r="BF31">
        <v>42</v>
      </c>
      <c r="BG31" s="26"/>
      <c r="BH31" s="26"/>
      <c r="BI31" s="26"/>
      <c r="BJ31" s="26"/>
      <c r="BK31" s="26"/>
      <c r="BL31" s="26"/>
      <c r="BM31" s="26"/>
      <c r="BN31" s="26"/>
      <c r="BO31" s="26"/>
      <c r="BP31" s="26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</row>
    <row r="32" spans="1:108" x14ac:dyDescent="0.2">
      <c r="H32" s="27">
        <f t="shared" si="0"/>
        <v>30</v>
      </c>
      <c r="I32">
        <v>20</v>
      </c>
      <c r="J32">
        <v>35</v>
      </c>
      <c r="K32">
        <v>24</v>
      </c>
      <c r="L32">
        <v>35</v>
      </c>
      <c r="M32">
        <v>20</v>
      </c>
      <c r="N32">
        <v>35</v>
      </c>
      <c r="O32">
        <v>80</v>
      </c>
      <c r="P32">
        <v>96</v>
      </c>
      <c r="Q32">
        <v>100</v>
      </c>
      <c r="R32">
        <v>120</v>
      </c>
      <c r="S32">
        <v>168</v>
      </c>
      <c r="T32">
        <v>24</v>
      </c>
      <c r="U32">
        <v>42</v>
      </c>
      <c r="V32">
        <v>100</v>
      </c>
      <c r="W32">
        <v>20</v>
      </c>
      <c r="X32">
        <v>120</v>
      </c>
      <c r="Y32">
        <v>35</v>
      </c>
      <c r="Z32">
        <v>20</v>
      </c>
      <c r="AA32">
        <v>42</v>
      </c>
      <c r="AB32">
        <v>60</v>
      </c>
      <c r="AC32">
        <v>20</v>
      </c>
      <c r="AD32">
        <v>100</v>
      </c>
      <c r="AE32">
        <v>35</v>
      </c>
      <c r="AF32">
        <v>20</v>
      </c>
      <c r="AG32">
        <v>35</v>
      </c>
      <c r="AH32">
        <v>20</v>
      </c>
      <c r="AI32">
        <v>35</v>
      </c>
      <c r="AJ32">
        <v>42</v>
      </c>
      <c r="AK32">
        <v>20</v>
      </c>
      <c r="AL32">
        <v>24</v>
      </c>
      <c r="AM32">
        <v>35</v>
      </c>
      <c r="AN32">
        <v>120</v>
      </c>
      <c r="AO32">
        <v>96</v>
      </c>
      <c r="AP32">
        <v>84</v>
      </c>
      <c r="AQ32">
        <v>168</v>
      </c>
      <c r="AR32">
        <v>84</v>
      </c>
      <c r="AS32">
        <v>30</v>
      </c>
      <c r="AT32">
        <v>140</v>
      </c>
      <c r="AU32">
        <v>140</v>
      </c>
      <c r="AV32">
        <v>42</v>
      </c>
      <c r="AW32">
        <v>24</v>
      </c>
      <c r="AX32">
        <v>100</v>
      </c>
      <c r="AY32">
        <v>20</v>
      </c>
      <c r="AZ32">
        <v>42</v>
      </c>
      <c r="BA32">
        <v>20</v>
      </c>
      <c r="BB32">
        <v>96</v>
      </c>
      <c r="BC32">
        <v>42</v>
      </c>
      <c r="BD32">
        <v>168</v>
      </c>
      <c r="BE32">
        <v>80</v>
      </c>
      <c r="BF32">
        <v>42</v>
      </c>
      <c r="BG32" s="26"/>
      <c r="BH32" s="26"/>
      <c r="BI32" s="26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</row>
    <row r="33" spans="8:108" x14ac:dyDescent="0.2">
      <c r="H33" s="27">
        <f t="shared" si="0"/>
        <v>31</v>
      </c>
      <c r="I33">
        <v>140</v>
      </c>
      <c r="J33">
        <v>168</v>
      </c>
      <c r="K33">
        <v>35</v>
      </c>
      <c r="L33">
        <v>20</v>
      </c>
      <c r="M33">
        <v>42</v>
      </c>
      <c r="N33">
        <v>24</v>
      </c>
      <c r="O33">
        <v>30</v>
      </c>
      <c r="P33">
        <v>120</v>
      </c>
      <c r="Q33">
        <v>100</v>
      </c>
      <c r="R33">
        <v>35</v>
      </c>
      <c r="S33">
        <v>70</v>
      </c>
      <c r="T33">
        <v>100</v>
      </c>
      <c r="U33">
        <v>120</v>
      </c>
      <c r="V33">
        <v>24</v>
      </c>
      <c r="W33">
        <v>5</v>
      </c>
      <c r="X33">
        <v>6</v>
      </c>
      <c r="Y33">
        <v>84</v>
      </c>
      <c r="Z33">
        <v>35</v>
      </c>
      <c r="AA33">
        <v>100</v>
      </c>
      <c r="AB33">
        <v>20</v>
      </c>
      <c r="AC33">
        <v>20</v>
      </c>
      <c r="AD33">
        <v>42</v>
      </c>
      <c r="AE33">
        <v>25</v>
      </c>
      <c r="AF33">
        <v>168</v>
      </c>
      <c r="AG33">
        <v>35</v>
      </c>
      <c r="AH33">
        <v>42</v>
      </c>
      <c r="AI33">
        <v>24</v>
      </c>
      <c r="AJ33">
        <v>96</v>
      </c>
      <c r="AK33">
        <v>20</v>
      </c>
      <c r="AL33">
        <v>20</v>
      </c>
      <c r="AM33">
        <v>140</v>
      </c>
      <c r="AN33">
        <v>140</v>
      </c>
      <c r="AO33">
        <v>100</v>
      </c>
      <c r="AP33">
        <v>20</v>
      </c>
      <c r="AQ33">
        <v>30</v>
      </c>
      <c r="AR33">
        <v>25</v>
      </c>
      <c r="AS33">
        <v>100</v>
      </c>
      <c r="AT33">
        <v>168</v>
      </c>
      <c r="AU33">
        <v>42</v>
      </c>
      <c r="AV33">
        <v>240</v>
      </c>
      <c r="AW33">
        <v>35</v>
      </c>
      <c r="AX33">
        <v>42</v>
      </c>
      <c r="AY33">
        <v>20</v>
      </c>
      <c r="AZ33">
        <v>140</v>
      </c>
      <c r="BA33">
        <v>100</v>
      </c>
      <c r="BB33">
        <v>24</v>
      </c>
      <c r="BC33">
        <v>35</v>
      </c>
      <c r="BD33">
        <v>100</v>
      </c>
      <c r="BE33">
        <v>24</v>
      </c>
      <c r="BF33">
        <v>35</v>
      </c>
      <c r="BG33" s="26"/>
      <c r="BH33" s="26"/>
      <c r="BI33" s="26"/>
      <c r="BJ33" s="26"/>
      <c r="BK33" s="26"/>
      <c r="BL33" s="26"/>
      <c r="BM33" s="26"/>
      <c r="BN33" s="26"/>
      <c r="BO33" s="26"/>
      <c r="BP33" s="26"/>
      <c r="BQ33" s="26"/>
      <c r="BR33" s="26"/>
      <c r="BS33" s="26"/>
      <c r="BT33" s="26"/>
      <c r="BU33" s="26"/>
      <c r="BV33" s="26"/>
      <c r="BW33" s="26"/>
      <c r="BX33" s="26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26"/>
      <c r="CP33" s="26"/>
      <c r="CQ33" s="26"/>
      <c r="CR33" s="26"/>
      <c r="CS33" s="26"/>
      <c r="CT33" s="26"/>
      <c r="CU33" s="26"/>
      <c r="CV33" s="26"/>
      <c r="CW33" s="26"/>
      <c r="CX33" s="26"/>
      <c r="CY33" s="26"/>
      <c r="CZ33" s="26"/>
      <c r="DA33" s="26"/>
      <c r="DB33" s="26"/>
      <c r="DC33" s="26"/>
      <c r="DD33" s="26"/>
    </row>
    <row r="34" spans="8:108" x14ac:dyDescent="0.2">
      <c r="H34" s="27">
        <f t="shared" si="0"/>
        <v>32</v>
      </c>
      <c r="I34">
        <v>42</v>
      </c>
      <c r="J34">
        <v>35</v>
      </c>
      <c r="K34">
        <v>35</v>
      </c>
      <c r="L34">
        <v>20</v>
      </c>
      <c r="M34">
        <v>5</v>
      </c>
      <c r="N34">
        <v>42</v>
      </c>
      <c r="O34">
        <v>35</v>
      </c>
      <c r="P34">
        <v>42</v>
      </c>
      <c r="Q34">
        <v>140</v>
      </c>
      <c r="R34">
        <v>20</v>
      </c>
      <c r="S34">
        <v>20</v>
      </c>
      <c r="T34">
        <v>35</v>
      </c>
      <c r="U34">
        <v>35</v>
      </c>
      <c r="V34">
        <v>35</v>
      </c>
      <c r="W34">
        <v>100</v>
      </c>
      <c r="X34">
        <v>20</v>
      </c>
      <c r="Y34">
        <v>30</v>
      </c>
      <c r="Z34">
        <v>100</v>
      </c>
      <c r="AA34">
        <v>42</v>
      </c>
      <c r="AB34">
        <v>84</v>
      </c>
      <c r="AC34">
        <v>24</v>
      </c>
      <c r="AD34">
        <v>25</v>
      </c>
      <c r="AE34">
        <v>70</v>
      </c>
      <c r="AF34">
        <v>42</v>
      </c>
      <c r="AG34">
        <v>168</v>
      </c>
      <c r="AH34">
        <v>42</v>
      </c>
      <c r="AI34">
        <v>24</v>
      </c>
      <c r="AJ34">
        <v>25</v>
      </c>
      <c r="AK34">
        <v>20</v>
      </c>
      <c r="AL34">
        <v>168</v>
      </c>
      <c r="AM34">
        <v>20</v>
      </c>
      <c r="AN34">
        <v>70</v>
      </c>
      <c r="AO34">
        <v>24</v>
      </c>
      <c r="AP34">
        <v>140</v>
      </c>
      <c r="AQ34">
        <v>80</v>
      </c>
      <c r="AR34">
        <v>140</v>
      </c>
      <c r="AS34">
        <v>42</v>
      </c>
      <c r="AT34">
        <v>42</v>
      </c>
      <c r="AU34">
        <v>24</v>
      </c>
      <c r="AV34">
        <v>80</v>
      </c>
      <c r="AW34">
        <v>120</v>
      </c>
      <c r="AX34">
        <v>20</v>
      </c>
      <c r="AY34">
        <v>20</v>
      </c>
      <c r="AZ34">
        <v>25</v>
      </c>
      <c r="BA34">
        <v>25</v>
      </c>
      <c r="BB34">
        <v>100</v>
      </c>
      <c r="BC34">
        <v>24</v>
      </c>
      <c r="BD34">
        <v>20</v>
      </c>
      <c r="BE34">
        <v>24</v>
      </c>
      <c r="BF34">
        <v>100</v>
      </c>
      <c r="BG34" s="26"/>
      <c r="BH34" s="26"/>
      <c r="BI34" s="26"/>
      <c r="BJ34" s="26"/>
      <c r="BK34" s="26"/>
      <c r="BL34" s="26"/>
      <c r="BM34" s="26"/>
      <c r="BN34" s="26"/>
      <c r="BO34" s="26"/>
      <c r="BP34" s="26"/>
      <c r="BQ34" s="26"/>
      <c r="BR34" s="26"/>
      <c r="BS34" s="26"/>
      <c r="BT34" s="26"/>
      <c r="BU34" s="26"/>
      <c r="BV34" s="26"/>
      <c r="BW34" s="26"/>
      <c r="BX34" s="26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26"/>
      <c r="CP34" s="26"/>
      <c r="CQ34" s="26"/>
      <c r="CR34" s="26"/>
      <c r="CS34" s="26"/>
      <c r="CT34" s="26"/>
      <c r="CU34" s="26"/>
      <c r="CV34" s="26"/>
      <c r="CW34" s="26"/>
      <c r="CX34" s="26"/>
      <c r="CY34" s="26"/>
      <c r="CZ34" s="26"/>
      <c r="DA34" s="26"/>
      <c r="DB34" s="26"/>
      <c r="DC34" s="26"/>
      <c r="DD34" s="26"/>
    </row>
    <row r="35" spans="8:108" x14ac:dyDescent="0.2">
      <c r="H35" s="27">
        <f t="shared" si="0"/>
        <v>33</v>
      </c>
      <c r="I35">
        <v>96</v>
      </c>
      <c r="J35">
        <v>100</v>
      </c>
      <c r="K35">
        <v>35</v>
      </c>
      <c r="L35">
        <v>42</v>
      </c>
      <c r="M35">
        <v>35</v>
      </c>
      <c r="N35">
        <v>35</v>
      </c>
      <c r="O35">
        <v>20</v>
      </c>
      <c r="P35">
        <v>84</v>
      </c>
      <c r="Q35">
        <v>20</v>
      </c>
      <c r="R35">
        <v>20</v>
      </c>
      <c r="S35">
        <v>84</v>
      </c>
      <c r="T35">
        <v>35</v>
      </c>
      <c r="U35">
        <v>35</v>
      </c>
      <c r="V35">
        <v>100</v>
      </c>
      <c r="W35">
        <v>35</v>
      </c>
      <c r="X35">
        <v>140</v>
      </c>
      <c r="Y35">
        <v>20</v>
      </c>
      <c r="Z35">
        <v>35</v>
      </c>
      <c r="AA35">
        <v>140</v>
      </c>
      <c r="AB35">
        <v>35</v>
      </c>
      <c r="AC35">
        <v>35</v>
      </c>
      <c r="AD35">
        <v>140</v>
      </c>
      <c r="AE35">
        <v>24</v>
      </c>
      <c r="AF35">
        <v>35</v>
      </c>
      <c r="AG35">
        <v>100</v>
      </c>
      <c r="AH35">
        <v>24</v>
      </c>
      <c r="AI35">
        <v>20</v>
      </c>
      <c r="AJ35">
        <v>100</v>
      </c>
      <c r="AK35">
        <v>70</v>
      </c>
      <c r="AL35">
        <v>200</v>
      </c>
      <c r="AM35">
        <v>60</v>
      </c>
      <c r="AN35">
        <v>20</v>
      </c>
      <c r="AO35">
        <v>20</v>
      </c>
      <c r="AP35">
        <v>20</v>
      </c>
      <c r="AQ35">
        <v>70</v>
      </c>
      <c r="AR35">
        <v>200</v>
      </c>
      <c r="AS35">
        <v>42</v>
      </c>
      <c r="AT35">
        <v>42</v>
      </c>
      <c r="AU35">
        <v>70</v>
      </c>
      <c r="AV35">
        <v>25</v>
      </c>
      <c r="AW35">
        <v>96</v>
      </c>
      <c r="AX35">
        <v>20</v>
      </c>
      <c r="AY35">
        <v>35</v>
      </c>
      <c r="AZ35">
        <v>140</v>
      </c>
      <c r="BA35">
        <v>20</v>
      </c>
      <c r="BB35">
        <v>42</v>
      </c>
      <c r="BC35">
        <v>140</v>
      </c>
      <c r="BD35">
        <v>120</v>
      </c>
      <c r="BE35">
        <v>24</v>
      </c>
      <c r="BF35">
        <v>96</v>
      </c>
      <c r="BG35" s="26"/>
      <c r="BH35" s="26"/>
      <c r="BI35" s="26"/>
      <c r="BJ35" s="26"/>
      <c r="BK35" s="26"/>
      <c r="BL35" s="26"/>
      <c r="BM35" s="26"/>
      <c r="BN35" s="26"/>
      <c r="BO35" s="26"/>
      <c r="BP35" s="26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26"/>
      <c r="DC35" s="26"/>
      <c r="DD35" s="26"/>
    </row>
    <row r="36" spans="8:108" x14ac:dyDescent="0.2">
      <c r="H36" s="27">
        <f t="shared" si="0"/>
        <v>34</v>
      </c>
      <c r="I36">
        <v>20</v>
      </c>
      <c r="J36">
        <v>80</v>
      </c>
      <c r="K36">
        <v>42</v>
      </c>
      <c r="L36">
        <v>30</v>
      </c>
      <c r="M36">
        <v>20</v>
      </c>
      <c r="N36">
        <v>100</v>
      </c>
      <c r="O36">
        <v>42</v>
      </c>
      <c r="P36">
        <v>100</v>
      </c>
      <c r="Q36">
        <v>35</v>
      </c>
      <c r="R36">
        <v>42</v>
      </c>
      <c r="S36">
        <v>60</v>
      </c>
      <c r="T36">
        <v>84</v>
      </c>
      <c r="U36">
        <v>100</v>
      </c>
      <c r="V36">
        <v>80</v>
      </c>
      <c r="W36">
        <v>42</v>
      </c>
      <c r="X36">
        <v>35</v>
      </c>
      <c r="Y36">
        <v>84</v>
      </c>
      <c r="Z36">
        <v>100</v>
      </c>
      <c r="AA36">
        <v>20</v>
      </c>
      <c r="AB36">
        <v>35</v>
      </c>
      <c r="AC36">
        <v>20</v>
      </c>
      <c r="AD36">
        <v>25</v>
      </c>
      <c r="AE36">
        <v>42</v>
      </c>
      <c r="AF36">
        <v>140</v>
      </c>
      <c r="AG36">
        <v>200</v>
      </c>
      <c r="AH36">
        <v>24</v>
      </c>
      <c r="AI36">
        <v>42</v>
      </c>
      <c r="AJ36">
        <v>80</v>
      </c>
      <c r="AK36">
        <v>240</v>
      </c>
      <c r="AL36">
        <v>42</v>
      </c>
      <c r="AM36">
        <v>72</v>
      </c>
      <c r="AN36">
        <v>120</v>
      </c>
      <c r="AO36">
        <v>100</v>
      </c>
      <c r="AP36">
        <v>35</v>
      </c>
      <c r="AQ36">
        <v>35</v>
      </c>
      <c r="AR36">
        <v>20</v>
      </c>
      <c r="AS36">
        <v>42</v>
      </c>
      <c r="AT36">
        <v>25</v>
      </c>
      <c r="AU36">
        <v>24</v>
      </c>
      <c r="AV36">
        <v>100</v>
      </c>
      <c r="AW36">
        <v>35</v>
      </c>
      <c r="AX36">
        <v>80</v>
      </c>
      <c r="AY36">
        <v>42</v>
      </c>
      <c r="AZ36">
        <v>168</v>
      </c>
      <c r="BA36">
        <v>24</v>
      </c>
      <c r="BB36">
        <v>24</v>
      </c>
      <c r="BC36">
        <v>60</v>
      </c>
      <c r="BD36">
        <v>24</v>
      </c>
      <c r="BE36">
        <v>20</v>
      </c>
      <c r="BF36">
        <v>25</v>
      </c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6"/>
      <c r="CS36" s="26"/>
      <c r="CT36" s="26"/>
      <c r="CU36" s="26"/>
      <c r="CV36" s="26"/>
      <c r="CW36" s="26"/>
      <c r="CX36" s="26"/>
      <c r="CY36" s="26"/>
      <c r="CZ36" s="26"/>
      <c r="DA36" s="26"/>
      <c r="DB36" s="26"/>
      <c r="DC36" s="26"/>
      <c r="DD36" s="26"/>
    </row>
    <row r="37" spans="8:108" x14ac:dyDescent="0.2">
      <c r="H37" s="27">
        <f t="shared" si="0"/>
        <v>35</v>
      </c>
      <c r="I37">
        <v>120</v>
      </c>
      <c r="J37">
        <v>120</v>
      </c>
      <c r="K37">
        <v>20</v>
      </c>
      <c r="L37">
        <v>24</v>
      </c>
      <c r="M37">
        <v>140</v>
      </c>
      <c r="N37">
        <v>42</v>
      </c>
      <c r="O37">
        <v>100</v>
      </c>
      <c r="P37">
        <v>100</v>
      </c>
      <c r="Q37">
        <v>35</v>
      </c>
      <c r="R37">
        <v>25</v>
      </c>
      <c r="S37">
        <v>35</v>
      </c>
      <c r="T37">
        <v>20</v>
      </c>
      <c r="U37">
        <v>35</v>
      </c>
      <c r="V37">
        <v>42</v>
      </c>
      <c r="W37">
        <v>120</v>
      </c>
      <c r="X37">
        <v>42</v>
      </c>
      <c r="Y37">
        <v>20</v>
      </c>
      <c r="Z37">
        <v>25</v>
      </c>
      <c r="AA37">
        <v>35</v>
      </c>
      <c r="AB37">
        <v>42</v>
      </c>
      <c r="AC37">
        <v>140</v>
      </c>
      <c r="AD37">
        <v>42</v>
      </c>
      <c r="AE37">
        <v>35</v>
      </c>
      <c r="AF37">
        <v>25</v>
      </c>
      <c r="AG37">
        <v>35</v>
      </c>
      <c r="AH37">
        <v>100</v>
      </c>
      <c r="AI37">
        <v>84</v>
      </c>
      <c r="AJ37">
        <v>140</v>
      </c>
      <c r="AK37">
        <v>50</v>
      </c>
      <c r="AL37">
        <v>70</v>
      </c>
      <c r="AM37">
        <v>120</v>
      </c>
      <c r="AN37">
        <v>42</v>
      </c>
      <c r="AO37">
        <v>35</v>
      </c>
      <c r="AP37">
        <v>25</v>
      </c>
      <c r="AQ37">
        <v>60</v>
      </c>
      <c r="AR37">
        <v>42</v>
      </c>
      <c r="AS37">
        <v>42</v>
      </c>
      <c r="AT37">
        <v>100</v>
      </c>
      <c r="AU37">
        <v>35</v>
      </c>
      <c r="AV37">
        <v>70</v>
      </c>
      <c r="AW37">
        <v>35</v>
      </c>
      <c r="AX37">
        <v>35</v>
      </c>
      <c r="AY37">
        <v>35</v>
      </c>
      <c r="AZ37">
        <v>24</v>
      </c>
      <c r="BA37">
        <v>20</v>
      </c>
      <c r="BB37">
        <v>24</v>
      </c>
      <c r="BC37">
        <v>25</v>
      </c>
      <c r="BD37">
        <v>42</v>
      </c>
      <c r="BE37">
        <v>35</v>
      </c>
      <c r="BF37">
        <v>120</v>
      </c>
      <c r="BG37" s="26"/>
      <c r="BH37" s="26"/>
      <c r="BI37" s="26"/>
      <c r="BJ37" s="26"/>
      <c r="BK37" s="26"/>
      <c r="BL37" s="26"/>
      <c r="BM37" s="26"/>
      <c r="BN37" s="26"/>
      <c r="BO37" s="26"/>
      <c r="BP37" s="26"/>
      <c r="BQ37" s="26"/>
      <c r="BR37" s="26"/>
      <c r="BS37" s="26"/>
      <c r="BT37" s="26"/>
      <c r="BU37" s="26"/>
      <c r="BV37" s="26"/>
      <c r="BW37" s="26"/>
      <c r="BX37" s="26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K37" s="26"/>
      <c r="CL37" s="26"/>
      <c r="CM37" s="26"/>
      <c r="CN37" s="26"/>
      <c r="CO37" s="26"/>
      <c r="CP37" s="26"/>
      <c r="CQ37" s="26"/>
      <c r="CR37" s="26"/>
      <c r="CS37" s="26"/>
      <c r="CT37" s="26"/>
      <c r="CU37" s="26"/>
      <c r="CV37" s="26"/>
      <c r="CW37" s="26"/>
      <c r="CX37" s="26"/>
      <c r="CY37" s="26"/>
      <c r="CZ37" s="26"/>
      <c r="DA37" s="26"/>
      <c r="DB37" s="26"/>
      <c r="DC37" s="26"/>
      <c r="DD37" s="26"/>
    </row>
    <row r="38" spans="8:108" x14ac:dyDescent="0.2">
      <c r="H38" s="27">
        <f t="shared" si="0"/>
        <v>36</v>
      </c>
      <c r="I38">
        <v>120</v>
      </c>
      <c r="J38">
        <v>35</v>
      </c>
      <c r="K38">
        <v>30</v>
      </c>
      <c r="L38">
        <v>42</v>
      </c>
      <c r="M38">
        <v>30</v>
      </c>
      <c r="N38">
        <v>84</v>
      </c>
      <c r="O38">
        <v>100</v>
      </c>
      <c r="P38">
        <v>35</v>
      </c>
      <c r="Q38">
        <v>120</v>
      </c>
      <c r="R38">
        <v>100</v>
      </c>
      <c r="S38">
        <v>20</v>
      </c>
      <c r="T38">
        <v>20</v>
      </c>
      <c r="U38">
        <v>30</v>
      </c>
      <c r="V38">
        <v>200</v>
      </c>
      <c r="W38">
        <v>25</v>
      </c>
      <c r="X38">
        <v>20</v>
      </c>
      <c r="Y38">
        <v>84</v>
      </c>
      <c r="Z38">
        <v>24</v>
      </c>
      <c r="AA38">
        <v>80</v>
      </c>
      <c r="AB38">
        <v>5</v>
      </c>
      <c r="AC38">
        <v>120</v>
      </c>
      <c r="AD38">
        <v>35</v>
      </c>
      <c r="AE38">
        <v>100</v>
      </c>
      <c r="AF38">
        <v>42</v>
      </c>
      <c r="AG38">
        <v>20</v>
      </c>
      <c r="AH38">
        <v>60</v>
      </c>
      <c r="AI38">
        <v>96</v>
      </c>
      <c r="AJ38">
        <v>35</v>
      </c>
      <c r="AK38">
        <v>30</v>
      </c>
      <c r="AL38">
        <v>35</v>
      </c>
      <c r="AM38">
        <v>24</v>
      </c>
      <c r="AN38">
        <v>100</v>
      </c>
      <c r="AO38">
        <v>120</v>
      </c>
      <c r="AP38">
        <v>100</v>
      </c>
      <c r="AQ38">
        <v>42</v>
      </c>
      <c r="AR38">
        <v>24</v>
      </c>
      <c r="AS38">
        <v>35</v>
      </c>
      <c r="AT38">
        <v>42</v>
      </c>
      <c r="AU38">
        <v>35</v>
      </c>
      <c r="AV38">
        <v>96</v>
      </c>
      <c r="AW38">
        <v>120</v>
      </c>
      <c r="AX38">
        <v>35</v>
      </c>
      <c r="AY38">
        <v>70</v>
      </c>
      <c r="AZ38">
        <v>30</v>
      </c>
      <c r="BA38">
        <v>35</v>
      </c>
      <c r="BB38">
        <v>200</v>
      </c>
      <c r="BC38">
        <v>35</v>
      </c>
      <c r="BD38">
        <v>24</v>
      </c>
      <c r="BE38">
        <v>20</v>
      </c>
      <c r="BF38">
        <v>80</v>
      </c>
      <c r="BG38" s="26"/>
      <c r="BH38" s="26"/>
      <c r="BI38" s="26"/>
      <c r="BJ38" s="26"/>
      <c r="BK38" s="26"/>
      <c r="BL38" s="26"/>
      <c r="BM38" s="26"/>
      <c r="BN38" s="26"/>
      <c r="BO38" s="26"/>
      <c r="BP38" s="26"/>
      <c r="BQ38" s="26"/>
      <c r="BR38" s="26"/>
      <c r="BS38" s="26"/>
      <c r="BT38" s="26"/>
      <c r="BU38" s="26"/>
      <c r="BV38" s="26"/>
      <c r="BW38" s="26"/>
      <c r="BX38" s="26"/>
      <c r="BY38" s="26"/>
      <c r="BZ38" s="26"/>
      <c r="CA38" s="26"/>
      <c r="CB38" s="26"/>
      <c r="CC38" s="26"/>
      <c r="CD38" s="26"/>
      <c r="CE38" s="26"/>
      <c r="CF38" s="26"/>
      <c r="CG38" s="26"/>
      <c r="CH38" s="26"/>
      <c r="CI38" s="26"/>
      <c r="CJ38" s="26"/>
      <c r="CK38" s="26"/>
      <c r="CL38" s="26"/>
      <c r="CM38" s="26"/>
      <c r="CN38" s="26"/>
      <c r="CO38" s="26"/>
      <c r="CP38" s="26"/>
      <c r="CQ38" s="26"/>
      <c r="CR38" s="26"/>
      <c r="CS38" s="26"/>
      <c r="CT38" s="26"/>
      <c r="CU38" s="26"/>
      <c r="CV38" s="26"/>
      <c r="CW38" s="26"/>
      <c r="CX38" s="26"/>
      <c r="CY38" s="26"/>
      <c r="CZ38" s="26"/>
      <c r="DA38" s="26"/>
      <c r="DB38" s="26"/>
      <c r="DC38" s="26"/>
      <c r="DD38" s="26"/>
    </row>
    <row r="39" spans="8:108" x14ac:dyDescent="0.2">
      <c r="H39" s="27">
        <f t="shared" si="0"/>
        <v>37</v>
      </c>
      <c r="I39">
        <v>24</v>
      </c>
      <c r="J39">
        <v>140</v>
      </c>
      <c r="K39">
        <v>200</v>
      </c>
      <c r="L39">
        <v>120</v>
      </c>
      <c r="M39">
        <v>42</v>
      </c>
      <c r="N39">
        <v>24</v>
      </c>
      <c r="O39">
        <v>42</v>
      </c>
      <c r="P39">
        <v>42</v>
      </c>
      <c r="Q39">
        <v>100</v>
      </c>
      <c r="R39">
        <v>42</v>
      </c>
      <c r="S39">
        <v>80</v>
      </c>
      <c r="T39">
        <v>140</v>
      </c>
      <c r="U39">
        <v>70</v>
      </c>
      <c r="V39">
        <v>168</v>
      </c>
      <c r="W39">
        <v>120</v>
      </c>
      <c r="X39">
        <v>25</v>
      </c>
      <c r="Y39">
        <v>42</v>
      </c>
      <c r="Z39">
        <v>24</v>
      </c>
      <c r="AA39">
        <v>42</v>
      </c>
      <c r="AB39">
        <v>96</v>
      </c>
      <c r="AC39">
        <v>100</v>
      </c>
      <c r="AD39">
        <v>42</v>
      </c>
      <c r="AE39">
        <v>20</v>
      </c>
      <c r="AF39">
        <v>42</v>
      </c>
      <c r="AG39">
        <v>42</v>
      </c>
      <c r="AH39">
        <v>35</v>
      </c>
      <c r="AI39">
        <v>140</v>
      </c>
      <c r="AJ39">
        <v>20</v>
      </c>
      <c r="AK39">
        <v>60</v>
      </c>
      <c r="AL39">
        <v>96</v>
      </c>
      <c r="AM39">
        <v>24</v>
      </c>
      <c r="AN39">
        <v>100</v>
      </c>
      <c r="AO39">
        <v>20</v>
      </c>
      <c r="AP39">
        <v>35</v>
      </c>
      <c r="AQ39">
        <v>42</v>
      </c>
      <c r="AR39">
        <v>35</v>
      </c>
      <c r="AS39">
        <v>100</v>
      </c>
      <c r="AT39">
        <v>80</v>
      </c>
      <c r="AU39">
        <v>168</v>
      </c>
      <c r="AV39">
        <v>100</v>
      </c>
      <c r="AW39">
        <v>20</v>
      </c>
      <c r="AX39">
        <v>120</v>
      </c>
      <c r="AY39">
        <v>35</v>
      </c>
      <c r="AZ39">
        <v>35</v>
      </c>
      <c r="BA39">
        <v>20</v>
      </c>
      <c r="BB39">
        <v>240</v>
      </c>
      <c r="BC39">
        <v>24</v>
      </c>
      <c r="BD39">
        <v>20</v>
      </c>
      <c r="BE39">
        <v>20</v>
      </c>
      <c r="BF39">
        <v>168</v>
      </c>
      <c r="BG39" s="26"/>
      <c r="BH39" s="26"/>
      <c r="BI39" s="26"/>
      <c r="BJ39" s="26"/>
      <c r="BK39" s="26"/>
      <c r="BL39" s="26"/>
      <c r="BM39" s="26"/>
      <c r="BN39" s="26"/>
      <c r="BO39" s="26"/>
      <c r="BP39" s="26"/>
      <c r="BQ39" s="26"/>
      <c r="BR39" s="26"/>
      <c r="BS39" s="26"/>
      <c r="BT39" s="26"/>
      <c r="BU39" s="26"/>
      <c r="BV39" s="26"/>
      <c r="BW39" s="26"/>
      <c r="BX39" s="26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K39" s="26"/>
      <c r="CL39" s="26"/>
      <c r="CM39" s="26"/>
      <c r="CN39" s="26"/>
      <c r="CO39" s="26"/>
      <c r="CP39" s="26"/>
      <c r="CQ39" s="26"/>
      <c r="CR39" s="26"/>
      <c r="CS39" s="26"/>
      <c r="CT39" s="26"/>
      <c r="CU39" s="26"/>
      <c r="CV39" s="26"/>
      <c r="CW39" s="26"/>
      <c r="CX39" s="26"/>
      <c r="CY39" s="26"/>
      <c r="CZ39" s="26"/>
      <c r="DA39" s="26"/>
      <c r="DB39" s="26"/>
      <c r="DC39" s="26"/>
      <c r="DD39" s="26"/>
    </row>
    <row r="40" spans="8:108" x14ac:dyDescent="0.2">
      <c r="H40" s="27">
        <f t="shared" si="0"/>
        <v>38</v>
      </c>
      <c r="I40">
        <v>20</v>
      </c>
      <c r="J40">
        <v>35</v>
      </c>
      <c r="K40">
        <v>30</v>
      </c>
      <c r="L40">
        <v>42</v>
      </c>
      <c r="M40">
        <v>100</v>
      </c>
      <c r="N40">
        <v>96</v>
      </c>
      <c r="O40">
        <v>20</v>
      </c>
      <c r="P40">
        <v>80</v>
      </c>
      <c r="Q40">
        <v>24</v>
      </c>
      <c r="R40">
        <v>25</v>
      </c>
      <c r="S40">
        <v>35</v>
      </c>
      <c r="T40">
        <v>70</v>
      </c>
      <c r="U40">
        <v>35</v>
      </c>
      <c r="V40">
        <v>42</v>
      </c>
      <c r="W40">
        <v>35</v>
      </c>
      <c r="X40">
        <v>42</v>
      </c>
      <c r="Y40">
        <v>20</v>
      </c>
      <c r="Z40">
        <v>120</v>
      </c>
      <c r="AA40">
        <v>35</v>
      </c>
      <c r="AB40">
        <v>96</v>
      </c>
      <c r="AC40">
        <v>168</v>
      </c>
      <c r="AD40">
        <v>42</v>
      </c>
      <c r="AE40">
        <v>80</v>
      </c>
      <c r="AF40">
        <v>60</v>
      </c>
      <c r="AG40">
        <v>20</v>
      </c>
      <c r="AH40">
        <v>30</v>
      </c>
      <c r="AI40">
        <v>20</v>
      </c>
      <c r="AJ40">
        <v>25</v>
      </c>
      <c r="AK40">
        <v>120</v>
      </c>
      <c r="AL40">
        <v>80</v>
      </c>
      <c r="AM40">
        <v>42</v>
      </c>
      <c r="AN40">
        <v>24</v>
      </c>
      <c r="AO40">
        <v>25</v>
      </c>
      <c r="AP40">
        <v>30</v>
      </c>
      <c r="AQ40">
        <v>24</v>
      </c>
      <c r="AR40">
        <v>240</v>
      </c>
      <c r="AS40">
        <v>80</v>
      </c>
      <c r="AT40">
        <v>35</v>
      </c>
      <c r="AU40">
        <v>60</v>
      </c>
      <c r="AV40">
        <v>20</v>
      </c>
      <c r="AW40">
        <v>20</v>
      </c>
      <c r="AX40">
        <v>35</v>
      </c>
      <c r="AY40">
        <v>120</v>
      </c>
      <c r="AZ40">
        <v>80</v>
      </c>
      <c r="BA40">
        <v>35</v>
      </c>
      <c r="BB40">
        <v>42</v>
      </c>
      <c r="BC40">
        <v>240</v>
      </c>
      <c r="BD40">
        <v>80</v>
      </c>
      <c r="BE40">
        <v>100</v>
      </c>
      <c r="BF40">
        <v>20</v>
      </c>
      <c r="BG40" s="26"/>
      <c r="BH40" s="26"/>
      <c r="BI40" s="26"/>
      <c r="BJ40" s="26"/>
      <c r="BK40" s="26"/>
      <c r="BL40" s="26"/>
      <c r="BM40" s="26"/>
      <c r="BN40" s="26"/>
      <c r="BO40" s="26"/>
      <c r="BP40" s="26"/>
      <c r="BQ40" s="26"/>
      <c r="BR40" s="26"/>
      <c r="BS40" s="26"/>
      <c r="BT40" s="26"/>
      <c r="BU40" s="26"/>
      <c r="BV40" s="26"/>
      <c r="BW40" s="26"/>
      <c r="BX40" s="26"/>
      <c r="BY40" s="26"/>
      <c r="BZ40" s="26"/>
      <c r="CA40" s="26"/>
      <c r="CB40" s="26"/>
      <c r="CC40" s="26"/>
      <c r="CD40" s="26"/>
      <c r="CE40" s="26"/>
      <c r="CF40" s="26"/>
      <c r="CG40" s="26"/>
      <c r="CH40" s="26"/>
      <c r="CI40" s="26"/>
      <c r="CJ40" s="26"/>
      <c r="CK40" s="26"/>
      <c r="CL40" s="26"/>
      <c r="CM40" s="26"/>
      <c r="CN40" s="26"/>
      <c r="CO40" s="26"/>
      <c r="CP40" s="26"/>
      <c r="CQ40" s="26"/>
      <c r="CR40" s="26"/>
      <c r="CS40" s="26"/>
      <c r="CT40" s="26"/>
      <c r="CU40" s="26"/>
      <c r="CV40" s="26"/>
      <c r="CW40" s="26"/>
      <c r="CX40" s="26"/>
      <c r="CY40" s="26"/>
      <c r="CZ40" s="26"/>
      <c r="DA40" s="26"/>
      <c r="DB40" s="26"/>
      <c r="DC40" s="26"/>
      <c r="DD40" s="26"/>
    </row>
    <row r="41" spans="8:108" x14ac:dyDescent="0.2">
      <c r="H41" s="27">
        <f t="shared" si="0"/>
        <v>39</v>
      </c>
      <c r="I41">
        <v>80</v>
      </c>
      <c r="J41">
        <v>100</v>
      </c>
      <c r="K41">
        <v>140</v>
      </c>
      <c r="L41">
        <v>25</v>
      </c>
      <c r="M41">
        <v>240</v>
      </c>
      <c r="N41">
        <v>96</v>
      </c>
      <c r="O41">
        <v>35</v>
      </c>
      <c r="P41">
        <v>100</v>
      </c>
      <c r="Q41">
        <v>42</v>
      </c>
      <c r="R41">
        <v>20</v>
      </c>
      <c r="S41">
        <v>24</v>
      </c>
      <c r="T41">
        <v>35</v>
      </c>
      <c r="U41">
        <v>42</v>
      </c>
      <c r="V41">
        <v>24</v>
      </c>
      <c r="W41">
        <v>140</v>
      </c>
      <c r="X41">
        <v>140</v>
      </c>
      <c r="Y41">
        <v>25</v>
      </c>
      <c r="Z41">
        <v>42</v>
      </c>
      <c r="AA41">
        <v>30</v>
      </c>
      <c r="AB41">
        <v>70</v>
      </c>
      <c r="AC41">
        <v>24</v>
      </c>
      <c r="AD41">
        <v>20</v>
      </c>
      <c r="AE41">
        <v>35</v>
      </c>
      <c r="AF41">
        <v>35</v>
      </c>
      <c r="AG41">
        <v>6</v>
      </c>
      <c r="AH41">
        <v>24</v>
      </c>
      <c r="AI41">
        <v>80</v>
      </c>
      <c r="AJ41">
        <v>35</v>
      </c>
      <c r="AK41">
        <v>25</v>
      </c>
      <c r="AL41">
        <v>25</v>
      </c>
      <c r="AM41">
        <v>140</v>
      </c>
      <c r="AN41">
        <v>35</v>
      </c>
      <c r="AO41">
        <v>80</v>
      </c>
      <c r="AP41">
        <v>80</v>
      </c>
      <c r="AQ41">
        <v>120</v>
      </c>
      <c r="AR41">
        <v>120</v>
      </c>
      <c r="AS41">
        <v>35</v>
      </c>
      <c r="AT41">
        <v>35</v>
      </c>
      <c r="AU41">
        <v>5</v>
      </c>
      <c r="AV41">
        <v>100</v>
      </c>
      <c r="AW41">
        <v>80</v>
      </c>
      <c r="AX41">
        <v>100</v>
      </c>
      <c r="AY41">
        <v>140</v>
      </c>
      <c r="AZ41">
        <v>35</v>
      </c>
      <c r="BA41">
        <v>30</v>
      </c>
      <c r="BB41">
        <v>140</v>
      </c>
      <c r="BC41">
        <v>100</v>
      </c>
      <c r="BD41">
        <v>240</v>
      </c>
      <c r="BE41">
        <v>25</v>
      </c>
      <c r="BF41">
        <v>30</v>
      </c>
      <c r="BG41" s="26"/>
      <c r="BH41" s="26"/>
      <c r="BI41" s="26"/>
      <c r="BJ41" s="26"/>
      <c r="BK41" s="26"/>
      <c r="BL41" s="26"/>
      <c r="BM41" s="26"/>
      <c r="BN41" s="26"/>
      <c r="BO41" s="26"/>
      <c r="BP41" s="26"/>
      <c r="BQ41" s="26"/>
      <c r="BR41" s="26"/>
      <c r="BS41" s="26"/>
      <c r="BT41" s="26"/>
      <c r="BU41" s="26"/>
      <c r="BV41" s="26"/>
      <c r="BW41" s="26"/>
      <c r="BX41" s="26"/>
      <c r="BY41" s="26"/>
      <c r="BZ41" s="26"/>
      <c r="CA41" s="26"/>
      <c r="CB41" s="26"/>
      <c r="CC41" s="26"/>
      <c r="CD41" s="26"/>
      <c r="CE41" s="26"/>
      <c r="CF41" s="26"/>
      <c r="CG41" s="26"/>
      <c r="CH41" s="26"/>
      <c r="CI41" s="26"/>
      <c r="CJ41" s="26"/>
      <c r="CK41" s="26"/>
      <c r="CL41" s="26"/>
      <c r="CM41" s="26"/>
      <c r="CN41" s="26"/>
      <c r="CO41" s="26"/>
      <c r="CP41" s="26"/>
      <c r="CQ41" s="26"/>
      <c r="CR41" s="26"/>
      <c r="CS41" s="26"/>
      <c r="CT41" s="26"/>
      <c r="CU41" s="26"/>
      <c r="CV41" s="26"/>
      <c r="CW41" s="26"/>
      <c r="CX41" s="26"/>
      <c r="CY41" s="26"/>
      <c r="CZ41" s="26"/>
      <c r="DA41" s="26"/>
      <c r="DB41" s="26"/>
      <c r="DC41" s="26"/>
      <c r="DD41" s="26"/>
    </row>
    <row r="42" spans="8:108" x14ac:dyDescent="0.2">
      <c r="H42" s="27">
        <f t="shared" si="0"/>
        <v>40</v>
      </c>
      <c r="I42">
        <v>96</v>
      </c>
      <c r="J42">
        <v>24</v>
      </c>
      <c r="K42">
        <v>20</v>
      </c>
      <c r="L42">
        <v>35</v>
      </c>
      <c r="M42">
        <v>80</v>
      </c>
      <c r="N42">
        <v>24</v>
      </c>
      <c r="O42">
        <v>100</v>
      </c>
      <c r="P42">
        <v>30</v>
      </c>
      <c r="Q42">
        <v>20</v>
      </c>
      <c r="R42">
        <v>42</v>
      </c>
      <c r="S42">
        <v>140</v>
      </c>
      <c r="T42">
        <v>35</v>
      </c>
      <c r="U42">
        <v>35</v>
      </c>
      <c r="V42">
        <v>100</v>
      </c>
      <c r="W42">
        <v>20</v>
      </c>
      <c r="X42">
        <v>80</v>
      </c>
      <c r="Y42">
        <v>120</v>
      </c>
      <c r="Z42">
        <v>80</v>
      </c>
      <c r="AA42">
        <v>35</v>
      </c>
      <c r="AB42">
        <v>35</v>
      </c>
      <c r="AC42">
        <v>20</v>
      </c>
      <c r="AD42">
        <v>200</v>
      </c>
      <c r="AE42">
        <v>35</v>
      </c>
      <c r="AF42">
        <v>35</v>
      </c>
      <c r="AG42">
        <v>84</v>
      </c>
      <c r="AH42">
        <v>35</v>
      </c>
      <c r="AI42">
        <v>168</v>
      </c>
      <c r="AJ42">
        <v>100</v>
      </c>
      <c r="AK42">
        <v>42</v>
      </c>
      <c r="AL42">
        <v>100</v>
      </c>
      <c r="AM42">
        <v>80</v>
      </c>
      <c r="AN42">
        <v>24</v>
      </c>
      <c r="AO42">
        <v>240</v>
      </c>
      <c r="AP42">
        <v>42</v>
      </c>
      <c r="AQ42">
        <v>25</v>
      </c>
      <c r="AR42">
        <v>140</v>
      </c>
      <c r="AS42">
        <v>30</v>
      </c>
      <c r="AT42">
        <v>35</v>
      </c>
      <c r="AU42">
        <v>100</v>
      </c>
      <c r="AV42">
        <v>120</v>
      </c>
      <c r="AW42">
        <v>80</v>
      </c>
      <c r="AX42">
        <v>100</v>
      </c>
      <c r="AY42">
        <v>35</v>
      </c>
      <c r="AZ42">
        <v>120</v>
      </c>
      <c r="BA42">
        <v>35</v>
      </c>
      <c r="BB42">
        <v>20</v>
      </c>
      <c r="BC42">
        <v>25</v>
      </c>
      <c r="BD42">
        <v>96</v>
      </c>
      <c r="BE42">
        <v>20</v>
      </c>
      <c r="BF42">
        <v>100</v>
      </c>
      <c r="BG42" s="26"/>
      <c r="BH42" s="26"/>
      <c r="BI42" s="26"/>
      <c r="BJ42" s="26"/>
      <c r="BK42" s="26"/>
      <c r="BL42" s="26"/>
      <c r="BM42" s="26"/>
      <c r="BN42" s="26"/>
      <c r="BO42" s="26"/>
      <c r="BP42" s="26"/>
      <c r="BQ42" s="26"/>
      <c r="BR42" s="26"/>
      <c r="BS42" s="26"/>
      <c r="BT42" s="26"/>
      <c r="BU42" s="26"/>
      <c r="BV42" s="26"/>
      <c r="BW42" s="26"/>
      <c r="BX42" s="26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26"/>
      <c r="CP42" s="26"/>
      <c r="CQ42" s="26"/>
      <c r="CR42" s="26"/>
      <c r="CS42" s="26"/>
      <c r="CT42" s="26"/>
      <c r="CU42" s="26"/>
      <c r="CV42" s="26"/>
      <c r="CW42" s="26"/>
      <c r="CX42" s="26"/>
      <c r="CY42" s="26"/>
      <c r="CZ42" s="26"/>
      <c r="DA42" s="26"/>
      <c r="DB42" s="26"/>
      <c r="DC42" s="26"/>
      <c r="DD42" s="26"/>
    </row>
    <row r="43" spans="8:108" x14ac:dyDescent="0.2">
      <c r="H43" s="27">
        <f t="shared" si="0"/>
        <v>41</v>
      </c>
      <c r="I43">
        <v>35</v>
      </c>
      <c r="J43">
        <v>35</v>
      </c>
      <c r="K43">
        <v>25</v>
      </c>
      <c r="L43">
        <v>24</v>
      </c>
      <c r="M43">
        <v>25</v>
      </c>
      <c r="N43">
        <v>30</v>
      </c>
      <c r="O43">
        <v>30</v>
      </c>
      <c r="P43">
        <v>20</v>
      </c>
      <c r="Q43">
        <v>20</v>
      </c>
      <c r="R43">
        <v>168</v>
      </c>
      <c r="S43">
        <v>140</v>
      </c>
      <c r="T43">
        <v>84</v>
      </c>
      <c r="U43">
        <v>24</v>
      </c>
      <c r="V43">
        <v>20</v>
      </c>
      <c r="W43">
        <v>24</v>
      </c>
      <c r="X43">
        <v>24</v>
      </c>
      <c r="Y43">
        <v>35</v>
      </c>
      <c r="Z43">
        <v>70</v>
      </c>
      <c r="AA43">
        <v>200</v>
      </c>
      <c r="AB43">
        <v>84</v>
      </c>
      <c r="AC43">
        <v>20</v>
      </c>
      <c r="AD43">
        <v>100</v>
      </c>
      <c r="AE43">
        <v>42</v>
      </c>
      <c r="AF43">
        <v>168</v>
      </c>
      <c r="AG43">
        <v>168</v>
      </c>
      <c r="AH43">
        <v>100</v>
      </c>
      <c r="AI43">
        <v>20</v>
      </c>
      <c r="AJ43">
        <v>120</v>
      </c>
      <c r="AK43">
        <v>168</v>
      </c>
      <c r="AL43">
        <v>20</v>
      </c>
      <c r="AM43">
        <v>42</v>
      </c>
      <c r="AN43">
        <v>20</v>
      </c>
      <c r="AO43">
        <v>120</v>
      </c>
      <c r="AP43">
        <v>84</v>
      </c>
      <c r="AQ43">
        <v>96</v>
      </c>
      <c r="AR43">
        <v>20</v>
      </c>
      <c r="AS43">
        <v>42</v>
      </c>
      <c r="AT43">
        <v>20</v>
      </c>
      <c r="AU43">
        <v>100</v>
      </c>
      <c r="AV43">
        <v>25</v>
      </c>
      <c r="AW43">
        <v>35</v>
      </c>
      <c r="AX43">
        <v>20</v>
      </c>
      <c r="AY43">
        <v>35</v>
      </c>
      <c r="AZ43">
        <v>20</v>
      </c>
      <c r="BA43">
        <v>20</v>
      </c>
      <c r="BB43">
        <v>35</v>
      </c>
      <c r="BC43">
        <v>96</v>
      </c>
      <c r="BD43">
        <v>84</v>
      </c>
      <c r="BE43">
        <v>35</v>
      </c>
      <c r="BF43">
        <v>42</v>
      </c>
      <c r="BG43" s="26"/>
      <c r="BH43" s="26"/>
      <c r="BI43" s="26"/>
      <c r="BJ43" s="26"/>
      <c r="BK43" s="26"/>
      <c r="BL43" s="26"/>
      <c r="BM43" s="26"/>
      <c r="BN43" s="26"/>
      <c r="BO43" s="26"/>
      <c r="BP43" s="26"/>
      <c r="BQ43" s="26"/>
      <c r="BR43" s="26"/>
      <c r="BS43" s="26"/>
      <c r="BT43" s="26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</row>
    <row r="44" spans="8:108" x14ac:dyDescent="0.2">
      <c r="H44" s="27">
        <f t="shared" si="0"/>
        <v>42</v>
      </c>
      <c r="I44">
        <v>35</v>
      </c>
      <c r="J44">
        <v>35</v>
      </c>
      <c r="K44">
        <v>20</v>
      </c>
      <c r="L44">
        <v>20</v>
      </c>
      <c r="M44">
        <v>96</v>
      </c>
      <c r="N44">
        <v>100</v>
      </c>
      <c r="O44">
        <v>35</v>
      </c>
      <c r="P44">
        <v>24</v>
      </c>
      <c r="Q44">
        <v>42</v>
      </c>
      <c r="R44">
        <v>30</v>
      </c>
      <c r="S44">
        <v>120</v>
      </c>
      <c r="T44">
        <v>20</v>
      </c>
      <c r="U44">
        <v>35</v>
      </c>
      <c r="V44">
        <v>80</v>
      </c>
      <c r="W44">
        <v>200</v>
      </c>
      <c r="X44">
        <v>35</v>
      </c>
      <c r="Y44">
        <v>42</v>
      </c>
      <c r="Z44">
        <v>35</v>
      </c>
      <c r="AA44">
        <v>42</v>
      </c>
      <c r="AB44">
        <v>200</v>
      </c>
      <c r="AC44">
        <v>35</v>
      </c>
      <c r="AD44">
        <v>96</v>
      </c>
      <c r="AE44">
        <v>100</v>
      </c>
      <c r="AF44">
        <v>24</v>
      </c>
      <c r="AG44">
        <v>168</v>
      </c>
      <c r="AH44">
        <v>24</v>
      </c>
      <c r="AI44">
        <v>20</v>
      </c>
      <c r="AJ44">
        <v>140</v>
      </c>
      <c r="AK44">
        <v>100</v>
      </c>
      <c r="AL44">
        <v>20</v>
      </c>
      <c r="AM44">
        <v>20</v>
      </c>
      <c r="AN44">
        <v>35</v>
      </c>
      <c r="AO44">
        <v>35</v>
      </c>
      <c r="AP44">
        <v>35</v>
      </c>
      <c r="AQ44">
        <v>100</v>
      </c>
      <c r="AR44">
        <v>100</v>
      </c>
      <c r="AS44">
        <v>100</v>
      </c>
      <c r="AT44">
        <v>84</v>
      </c>
      <c r="AU44">
        <v>140</v>
      </c>
      <c r="AV44">
        <v>35</v>
      </c>
      <c r="AW44">
        <v>100</v>
      </c>
      <c r="AX44">
        <v>42</v>
      </c>
      <c r="AY44">
        <v>20</v>
      </c>
      <c r="AZ44">
        <v>42</v>
      </c>
      <c r="BA44">
        <v>25</v>
      </c>
      <c r="BB44">
        <v>100</v>
      </c>
      <c r="BC44">
        <v>80</v>
      </c>
      <c r="BD44">
        <v>42</v>
      </c>
      <c r="BE44">
        <v>24</v>
      </c>
      <c r="BF44">
        <v>120</v>
      </c>
      <c r="BG44" s="26"/>
      <c r="BH44" s="26"/>
      <c r="BI44" s="26"/>
      <c r="BJ44" s="26"/>
      <c r="BK44" s="26"/>
      <c r="BL44" s="26"/>
      <c r="BM44" s="26"/>
      <c r="BN44" s="26"/>
      <c r="BO44" s="26"/>
      <c r="BP44" s="26"/>
      <c r="BQ44" s="26"/>
      <c r="BR44" s="26"/>
      <c r="BS44" s="26"/>
      <c r="BT44" s="26"/>
      <c r="BU44" s="26"/>
      <c r="BV44" s="26"/>
      <c r="BW44" s="26"/>
      <c r="BX44" s="26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26"/>
      <c r="CP44" s="26"/>
      <c r="CQ44" s="26"/>
      <c r="CR44" s="26"/>
      <c r="CS44" s="26"/>
      <c r="CT44" s="26"/>
      <c r="CU44" s="26"/>
      <c r="CV44" s="26"/>
      <c r="CW44" s="26"/>
      <c r="CX44" s="26"/>
      <c r="CY44" s="26"/>
      <c r="CZ44" s="26"/>
      <c r="DA44" s="26"/>
      <c r="DB44" s="26"/>
      <c r="DC44" s="26"/>
      <c r="DD44" s="26"/>
    </row>
    <row r="45" spans="8:108" x14ac:dyDescent="0.2">
      <c r="H45" s="27">
        <f t="shared" si="0"/>
        <v>43</v>
      </c>
      <c r="I45">
        <v>200</v>
      </c>
      <c r="J45">
        <v>42</v>
      </c>
      <c r="K45">
        <v>25</v>
      </c>
      <c r="L45">
        <v>25</v>
      </c>
      <c r="M45">
        <v>25</v>
      </c>
      <c r="N45">
        <v>20</v>
      </c>
      <c r="O45">
        <v>25</v>
      </c>
      <c r="P45">
        <v>24</v>
      </c>
      <c r="Q45">
        <v>20</v>
      </c>
      <c r="R45">
        <v>24</v>
      </c>
      <c r="S45">
        <v>120</v>
      </c>
      <c r="T45">
        <v>140</v>
      </c>
      <c r="U45">
        <v>35</v>
      </c>
      <c r="V45">
        <v>35</v>
      </c>
      <c r="W45">
        <v>84</v>
      </c>
      <c r="X45">
        <v>240</v>
      </c>
      <c r="Y45">
        <v>100</v>
      </c>
      <c r="Z45">
        <v>30</v>
      </c>
      <c r="AA45">
        <v>140</v>
      </c>
      <c r="AB45">
        <v>80</v>
      </c>
      <c r="AC45">
        <v>30</v>
      </c>
      <c r="AD45">
        <v>42</v>
      </c>
      <c r="AE45">
        <v>35</v>
      </c>
      <c r="AF45">
        <v>140</v>
      </c>
      <c r="AG45">
        <v>24</v>
      </c>
      <c r="AH45">
        <v>120</v>
      </c>
      <c r="AI45">
        <v>168</v>
      </c>
      <c r="AJ45">
        <v>42</v>
      </c>
      <c r="AK45">
        <v>35</v>
      </c>
      <c r="AL45">
        <v>30</v>
      </c>
      <c r="AM45">
        <v>25</v>
      </c>
      <c r="AN45">
        <v>120</v>
      </c>
      <c r="AO45">
        <v>35</v>
      </c>
      <c r="AP45">
        <v>42</v>
      </c>
      <c r="AQ45">
        <v>168</v>
      </c>
      <c r="AR45">
        <v>100</v>
      </c>
      <c r="AS45">
        <v>42</v>
      </c>
      <c r="AT45">
        <v>70</v>
      </c>
      <c r="AU45">
        <v>35</v>
      </c>
      <c r="AV45">
        <v>35</v>
      </c>
      <c r="AW45">
        <v>30</v>
      </c>
      <c r="AX45">
        <v>168</v>
      </c>
      <c r="AY45">
        <v>80</v>
      </c>
      <c r="AZ45">
        <v>24</v>
      </c>
      <c r="BA45">
        <v>42</v>
      </c>
      <c r="BB45">
        <v>96</v>
      </c>
      <c r="BC45">
        <v>24</v>
      </c>
      <c r="BD45">
        <v>60</v>
      </c>
      <c r="BE45">
        <v>120</v>
      </c>
      <c r="BF45">
        <v>42</v>
      </c>
      <c r="BG45" s="26"/>
      <c r="BH45" s="26"/>
      <c r="BI45" s="26"/>
      <c r="BJ45" s="26"/>
      <c r="BK45" s="26"/>
      <c r="BL45" s="26"/>
      <c r="BM45" s="26"/>
      <c r="BN45" s="26"/>
      <c r="BO45" s="26"/>
      <c r="BP45" s="26"/>
      <c r="BQ45" s="26"/>
      <c r="BR45" s="26"/>
      <c r="BS45" s="26"/>
      <c r="BT45" s="26"/>
      <c r="BU45" s="26"/>
      <c r="BV45" s="26"/>
      <c r="BW45" s="26"/>
      <c r="BX45" s="26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</row>
    <row r="46" spans="8:108" x14ac:dyDescent="0.2">
      <c r="H46" s="27">
        <f t="shared" si="0"/>
        <v>44</v>
      </c>
      <c r="I46">
        <v>80</v>
      </c>
      <c r="J46">
        <v>24</v>
      </c>
      <c r="K46">
        <v>42</v>
      </c>
      <c r="L46">
        <v>20</v>
      </c>
      <c r="M46">
        <v>20</v>
      </c>
      <c r="N46">
        <v>140</v>
      </c>
      <c r="O46">
        <v>6</v>
      </c>
      <c r="P46">
        <v>80</v>
      </c>
      <c r="Q46">
        <v>80</v>
      </c>
      <c r="R46">
        <v>70</v>
      </c>
      <c r="S46">
        <v>42</v>
      </c>
      <c r="T46">
        <v>120</v>
      </c>
      <c r="U46">
        <v>35</v>
      </c>
      <c r="V46">
        <v>24</v>
      </c>
      <c r="W46">
        <v>20</v>
      </c>
      <c r="X46">
        <v>24</v>
      </c>
      <c r="Y46">
        <v>84</v>
      </c>
      <c r="Z46">
        <v>70</v>
      </c>
      <c r="AA46">
        <v>20</v>
      </c>
      <c r="AB46">
        <v>96</v>
      </c>
      <c r="AC46">
        <v>42</v>
      </c>
      <c r="AD46">
        <v>70</v>
      </c>
      <c r="AE46">
        <v>42</v>
      </c>
      <c r="AF46">
        <v>35</v>
      </c>
      <c r="AG46">
        <v>24</v>
      </c>
      <c r="AH46">
        <v>80</v>
      </c>
      <c r="AI46">
        <v>24</v>
      </c>
      <c r="AJ46">
        <v>120</v>
      </c>
      <c r="AK46">
        <v>70</v>
      </c>
      <c r="AL46">
        <v>20</v>
      </c>
      <c r="AM46">
        <v>24</v>
      </c>
      <c r="AN46">
        <v>35</v>
      </c>
      <c r="AO46">
        <v>140</v>
      </c>
      <c r="AP46">
        <v>42</v>
      </c>
      <c r="AQ46">
        <v>25</v>
      </c>
      <c r="AR46">
        <v>30</v>
      </c>
      <c r="AS46">
        <v>200</v>
      </c>
      <c r="AT46">
        <v>140</v>
      </c>
      <c r="AU46">
        <v>120</v>
      </c>
      <c r="AV46">
        <v>35</v>
      </c>
      <c r="AW46">
        <v>35</v>
      </c>
      <c r="AX46">
        <v>24</v>
      </c>
      <c r="AY46">
        <v>140</v>
      </c>
      <c r="AZ46">
        <v>120</v>
      </c>
      <c r="BA46">
        <v>70</v>
      </c>
      <c r="BB46">
        <v>84</v>
      </c>
      <c r="BC46">
        <v>20</v>
      </c>
      <c r="BD46">
        <v>42</v>
      </c>
      <c r="BE46">
        <v>24</v>
      </c>
      <c r="BF46">
        <v>140</v>
      </c>
      <c r="BG46" s="26"/>
      <c r="BH46" s="26"/>
      <c r="BI46" s="26"/>
      <c r="BJ46" s="26"/>
      <c r="BK46" s="26"/>
      <c r="BL46" s="26"/>
      <c r="BM46" s="26"/>
      <c r="BN46" s="26"/>
      <c r="BO46" s="26"/>
      <c r="BP46" s="26"/>
      <c r="BQ46" s="26"/>
      <c r="BR46" s="26"/>
      <c r="BS46" s="26"/>
      <c r="BT46" s="26"/>
      <c r="BU46" s="26"/>
      <c r="BV46" s="26"/>
      <c r="BW46" s="26"/>
      <c r="BX46" s="26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26"/>
      <c r="DA46" s="26"/>
      <c r="DB46" s="26"/>
      <c r="DC46" s="26"/>
      <c r="DD46" s="26"/>
    </row>
    <row r="47" spans="8:108" x14ac:dyDescent="0.2">
      <c r="H47" s="27">
        <f t="shared" si="0"/>
        <v>45</v>
      </c>
      <c r="I47">
        <v>42</v>
      </c>
      <c r="J47">
        <v>35</v>
      </c>
      <c r="K47">
        <v>168</v>
      </c>
      <c r="L47">
        <v>42</v>
      </c>
      <c r="M47">
        <v>35</v>
      </c>
      <c r="N47">
        <v>35</v>
      </c>
      <c r="O47">
        <v>35</v>
      </c>
      <c r="P47">
        <v>100</v>
      </c>
      <c r="Q47">
        <v>96</v>
      </c>
      <c r="R47">
        <v>20</v>
      </c>
      <c r="S47">
        <v>35</v>
      </c>
      <c r="T47">
        <v>70</v>
      </c>
      <c r="U47">
        <v>200</v>
      </c>
      <c r="V47">
        <v>84</v>
      </c>
      <c r="W47">
        <v>80</v>
      </c>
      <c r="X47">
        <v>120</v>
      </c>
      <c r="Y47">
        <v>96</v>
      </c>
      <c r="Z47">
        <v>25</v>
      </c>
      <c r="AA47">
        <v>42</v>
      </c>
      <c r="AB47">
        <v>25</v>
      </c>
      <c r="AC47">
        <v>24</v>
      </c>
      <c r="AD47">
        <v>240</v>
      </c>
      <c r="AE47">
        <v>24</v>
      </c>
      <c r="AF47">
        <v>20</v>
      </c>
      <c r="AG47">
        <v>25</v>
      </c>
      <c r="AH47">
        <v>35</v>
      </c>
      <c r="AI47">
        <v>35</v>
      </c>
      <c r="AJ47">
        <v>84</v>
      </c>
      <c r="AK47">
        <v>20</v>
      </c>
      <c r="AL47">
        <v>120</v>
      </c>
      <c r="AM47">
        <v>35</v>
      </c>
      <c r="AN47">
        <v>5</v>
      </c>
      <c r="AO47">
        <v>30</v>
      </c>
      <c r="AP47">
        <v>35</v>
      </c>
      <c r="AQ47">
        <v>100</v>
      </c>
      <c r="AR47">
        <v>168</v>
      </c>
      <c r="AS47">
        <v>100</v>
      </c>
      <c r="AT47">
        <v>100</v>
      </c>
      <c r="AU47">
        <v>100</v>
      </c>
      <c r="AV47">
        <v>20</v>
      </c>
      <c r="AW47">
        <v>25</v>
      </c>
      <c r="AX47">
        <v>42</v>
      </c>
      <c r="AY47">
        <v>200</v>
      </c>
      <c r="AZ47">
        <v>100</v>
      </c>
      <c r="BA47">
        <v>42</v>
      </c>
      <c r="BB47">
        <v>96</v>
      </c>
      <c r="BC47">
        <v>20</v>
      </c>
      <c r="BD47">
        <v>35</v>
      </c>
      <c r="BE47">
        <v>35</v>
      </c>
      <c r="BF47">
        <v>25</v>
      </c>
      <c r="BG47" s="26"/>
      <c r="BH47" s="26"/>
      <c r="BI47" s="26"/>
      <c r="BJ47" s="26"/>
      <c r="BK47" s="26"/>
      <c r="BL47" s="26"/>
      <c r="BM47" s="26"/>
      <c r="BN47" s="26"/>
      <c r="BO47" s="26"/>
      <c r="BP47" s="26"/>
      <c r="BQ47" s="26"/>
      <c r="BR47" s="26"/>
      <c r="BS47" s="26"/>
      <c r="BT47" s="26"/>
      <c r="BU47" s="26"/>
      <c r="BV47" s="26"/>
      <c r="BW47" s="26"/>
      <c r="BX47" s="26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K47" s="26"/>
      <c r="CL47" s="26"/>
      <c r="CM47" s="26"/>
      <c r="CN47" s="26"/>
      <c r="CO47" s="26"/>
      <c r="CP47" s="26"/>
      <c r="CQ47" s="26"/>
      <c r="CR47" s="26"/>
      <c r="CS47" s="26"/>
      <c r="CT47" s="26"/>
      <c r="CU47" s="26"/>
      <c r="CV47" s="26"/>
      <c r="CW47" s="26"/>
      <c r="CX47" s="26"/>
      <c r="CY47" s="26"/>
      <c r="CZ47" s="26"/>
      <c r="DA47" s="26"/>
      <c r="DB47" s="26"/>
      <c r="DC47" s="26"/>
      <c r="DD47" s="26"/>
    </row>
    <row r="48" spans="8:108" x14ac:dyDescent="0.2">
      <c r="H48" s="27">
        <f t="shared" si="0"/>
        <v>46</v>
      </c>
      <c r="I48">
        <v>25</v>
      </c>
      <c r="J48">
        <v>20</v>
      </c>
      <c r="K48">
        <v>140</v>
      </c>
      <c r="L48">
        <v>20</v>
      </c>
      <c r="M48">
        <v>120</v>
      </c>
      <c r="N48">
        <v>30</v>
      </c>
      <c r="O48">
        <v>35</v>
      </c>
      <c r="P48">
        <v>30</v>
      </c>
      <c r="Q48">
        <v>140</v>
      </c>
      <c r="R48">
        <v>168</v>
      </c>
      <c r="S48">
        <v>35</v>
      </c>
      <c r="T48">
        <v>42</v>
      </c>
      <c r="U48">
        <v>30</v>
      </c>
      <c r="V48">
        <v>35</v>
      </c>
      <c r="W48">
        <v>120</v>
      </c>
      <c r="X48">
        <v>60</v>
      </c>
      <c r="Y48">
        <v>25</v>
      </c>
      <c r="Z48">
        <v>25</v>
      </c>
      <c r="AA48">
        <v>20</v>
      </c>
      <c r="AB48">
        <v>140</v>
      </c>
      <c r="AC48">
        <v>25</v>
      </c>
      <c r="AD48">
        <v>20</v>
      </c>
      <c r="AE48">
        <v>70</v>
      </c>
      <c r="AF48">
        <v>42</v>
      </c>
      <c r="AG48">
        <v>100</v>
      </c>
      <c r="AH48">
        <v>120</v>
      </c>
      <c r="AI48">
        <v>42</v>
      </c>
      <c r="AJ48">
        <v>35</v>
      </c>
      <c r="AK48">
        <v>100</v>
      </c>
      <c r="AL48">
        <v>30</v>
      </c>
      <c r="AM48">
        <v>80</v>
      </c>
      <c r="AN48">
        <v>42</v>
      </c>
      <c r="AO48">
        <v>35</v>
      </c>
      <c r="AP48">
        <v>42</v>
      </c>
      <c r="AQ48">
        <v>168</v>
      </c>
      <c r="AR48">
        <v>24</v>
      </c>
      <c r="AS48">
        <v>20</v>
      </c>
      <c r="AT48">
        <v>100</v>
      </c>
      <c r="AU48">
        <v>25</v>
      </c>
      <c r="AV48">
        <v>35</v>
      </c>
      <c r="AW48">
        <v>100</v>
      </c>
      <c r="AX48">
        <v>20</v>
      </c>
      <c r="AY48">
        <v>35</v>
      </c>
      <c r="AZ48">
        <v>35</v>
      </c>
      <c r="BA48">
        <v>80</v>
      </c>
      <c r="BB48">
        <v>120</v>
      </c>
      <c r="BC48">
        <v>200</v>
      </c>
      <c r="BD48">
        <v>35</v>
      </c>
      <c r="BE48">
        <v>20</v>
      </c>
      <c r="BF48">
        <v>30</v>
      </c>
      <c r="BG48" s="26"/>
      <c r="BH48" s="26"/>
      <c r="BI48" s="26"/>
      <c r="BJ48" s="26"/>
      <c r="BK48" s="26"/>
      <c r="BL48" s="26"/>
      <c r="BM48" s="26"/>
      <c r="BN48" s="26"/>
      <c r="BO48" s="26"/>
      <c r="BP48" s="26"/>
      <c r="BQ48" s="26"/>
      <c r="BR48" s="26"/>
      <c r="BS48" s="26"/>
      <c r="BT48" s="26"/>
      <c r="BU48" s="26"/>
      <c r="BV48" s="26"/>
      <c r="BW48" s="26"/>
      <c r="BX48" s="26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26"/>
      <c r="CP48" s="26"/>
      <c r="CQ48" s="26"/>
      <c r="CR48" s="26"/>
      <c r="CS48" s="26"/>
      <c r="CT48" s="26"/>
      <c r="CU48" s="26"/>
      <c r="CV48" s="26"/>
      <c r="CW48" s="26"/>
      <c r="CX48" s="26"/>
      <c r="CY48" s="26"/>
      <c r="CZ48" s="26"/>
      <c r="DA48" s="26"/>
      <c r="DB48" s="26"/>
      <c r="DC48" s="26"/>
      <c r="DD48" s="26"/>
    </row>
    <row r="49" spans="8:108" x14ac:dyDescent="0.2">
      <c r="H49" s="27">
        <f t="shared" si="0"/>
        <v>47</v>
      </c>
      <c r="I49">
        <v>42</v>
      </c>
      <c r="J49">
        <v>20</v>
      </c>
      <c r="K49">
        <v>84</v>
      </c>
      <c r="L49">
        <v>20</v>
      </c>
      <c r="M49">
        <v>100</v>
      </c>
      <c r="N49">
        <v>100</v>
      </c>
      <c r="O49">
        <v>80</v>
      </c>
      <c r="P49">
        <v>35</v>
      </c>
      <c r="Q49">
        <v>168</v>
      </c>
      <c r="R49">
        <v>42</v>
      </c>
      <c r="S49">
        <v>240</v>
      </c>
      <c r="T49">
        <v>35</v>
      </c>
      <c r="U49">
        <v>42</v>
      </c>
      <c r="V49">
        <v>35</v>
      </c>
      <c r="W49">
        <v>35</v>
      </c>
      <c r="X49">
        <v>30</v>
      </c>
      <c r="Y49">
        <v>35</v>
      </c>
      <c r="Z49">
        <v>42</v>
      </c>
      <c r="AA49">
        <v>100</v>
      </c>
      <c r="AB49">
        <v>42</v>
      </c>
      <c r="AC49">
        <v>42</v>
      </c>
      <c r="AD49">
        <v>80</v>
      </c>
      <c r="AE49">
        <v>24</v>
      </c>
      <c r="AF49">
        <v>35</v>
      </c>
      <c r="AG49">
        <v>140</v>
      </c>
      <c r="AH49">
        <v>35</v>
      </c>
      <c r="AI49">
        <v>120</v>
      </c>
      <c r="AJ49">
        <v>140</v>
      </c>
      <c r="AK49">
        <v>100</v>
      </c>
      <c r="AL49">
        <v>42</v>
      </c>
      <c r="AM49">
        <v>42</v>
      </c>
      <c r="AN49">
        <v>42</v>
      </c>
      <c r="AO49">
        <v>24</v>
      </c>
      <c r="AP49">
        <v>20</v>
      </c>
      <c r="AQ49">
        <v>140</v>
      </c>
      <c r="AR49">
        <v>96</v>
      </c>
      <c r="AS49">
        <v>70</v>
      </c>
      <c r="AT49">
        <v>24</v>
      </c>
      <c r="AU49">
        <v>100</v>
      </c>
      <c r="AV49">
        <v>168</v>
      </c>
      <c r="AW49">
        <v>30</v>
      </c>
      <c r="AX49">
        <v>35</v>
      </c>
      <c r="AY49">
        <v>42</v>
      </c>
      <c r="AZ49">
        <v>35</v>
      </c>
      <c r="BA49">
        <v>42</v>
      </c>
      <c r="BB49">
        <v>50</v>
      </c>
      <c r="BC49">
        <v>35</v>
      </c>
      <c r="BD49">
        <v>96</v>
      </c>
      <c r="BE49">
        <v>35</v>
      </c>
      <c r="BF49">
        <v>42</v>
      </c>
      <c r="BG49" s="26"/>
      <c r="BH49" s="26"/>
      <c r="BI49" s="26"/>
      <c r="BJ49" s="26"/>
      <c r="BK49" s="26"/>
      <c r="BL49" s="26"/>
      <c r="BM49" s="26"/>
      <c r="BN49" s="26"/>
      <c r="BO49" s="26"/>
      <c r="BP49" s="26"/>
      <c r="BQ49" s="26"/>
      <c r="BR49" s="26"/>
      <c r="BS49" s="26"/>
      <c r="BT49" s="26"/>
      <c r="BU49" s="26"/>
      <c r="BV49" s="26"/>
      <c r="BW49" s="26"/>
      <c r="BX49" s="26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26"/>
      <c r="CP49" s="26"/>
      <c r="CQ49" s="26"/>
      <c r="CR49" s="26"/>
      <c r="CS49" s="26"/>
      <c r="CT49" s="26"/>
      <c r="CU49" s="26"/>
      <c r="CV49" s="26"/>
      <c r="CW49" s="26"/>
      <c r="CX49" s="26"/>
      <c r="CY49" s="26"/>
      <c r="CZ49" s="26"/>
      <c r="DA49" s="26"/>
      <c r="DB49" s="26"/>
      <c r="DC49" s="26"/>
      <c r="DD49" s="26"/>
    </row>
    <row r="50" spans="8:108" x14ac:dyDescent="0.2">
      <c r="H50" s="27">
        <f t="shared" si="0"/>
        <v>48</v>
      </c>
      <c r="I50">
        <v>42</v>
      </c>
      <c r="J50">
        <v>80</v>
      </c>
      <c r="K50">
        <v>35</v>
      </c>
      <c r="L50">
        <v>140</v>
      </c>
      <c r="M50">
        <v>42</v>
      </c>
      <c r="N50">
        <v>168</v>
      </c>
      <c r="O50">
        <v>120</v>
      </c>
      <c r="P50">
        <v>25</v>
      </c>
      <c r="Q50">
        <v>80</v>
      </c>
      <c r="R50">
        <v>35</v>
      </c>
      <c r="S50">
        <v>35</v>
      </c>
      <c r="T50">
        <v>70</v>
      </c>
      <c r="U50">
        <v>140</v>
      </c>
      <c r="V50">
        <v>24</v>
      </c>
      <c r="W50">
        <v>25</v>
      </c>
      <c r="X50">
        <v>100</v>
      </c>
      <c r="Y50">
        <v>35</v>
      </c>
      <c r="Z50">
        <v>100</v>
      </c>
      <c r="AA50">
        <v>200</v>
      </c>
      <c r="AB50">
        <v>120</v>
      </c>
      <c r="AC50">
        <v>100</v>
      </c>
      <c r="AD50">
        <v>35</v>
      </c>
      <c r="AE50">
        <v>35</v>
      </c>
      <c r="AF50">
        <v>140</v>
      </c>
      <c r="AG50">
        <v>35</v>
      </c>
      <c r="AH50">
        <v>42</v>
      </c>
      <c r="AI50">
        <v>24</v>
      </c>
      <c r="AJ50">
        <v>84</v>
      </c>
      <c r="AK50">
        <v>35</v>
      </c>
      <c r="AL50">
        <v>24</v>
      </c>
      <c r="AM50">
        <v>84</v>
      </c>
      <c r="AN50">
        <v>72</v>
      </c>
      <c r="AO50">
        <v>25</v>
      </c>
      <c r="AP50">
        <v>120</v>
      </c>
      <c r="AQ50">
        <v>70</v>
      </c>
      <c r="AR50">
        <v>24</v>
      </c>
      <c r="AS50">
        <v>20</v>
      </c>
      <c r="AT50">
        <v>24</v>
      </c>
      <c r="AU50">
        <v>42</v>
      </c>
      <c r="AV50">
        <v>140</v>
      </c>
      <c r="AW50">
        <v>35</v>
      </c>
      <c r="AX50">
        <v>100</v>
      </c>
      <c r="AY50">
        <v>35</v>
      </c>
      <c r="AZ50">
        <v>35</v>
      </c>
      <c r="BA50">
        <v>100</v>
      </c>
      <c r="BB50">
        <v>25</v>
      </c>
      <c r="BC50">
        <v>96</v>
      </c>
      <c r="BD50">
        <v>35</v>
      </c>
      <c r="BE50">
        <v>24</v>
      </c>
      <c r="BF50">
        <v>20</v>
      </c>
      <c r="BG50" s="26"/>
      <c r="BH50" s="26"/>
      <c r="BI50" s="26"/>
      <c r="BJ50" s="26"/>
      <c r="BK50" s="26"/>
      <c r="BL50" s="26"/>
      <c r="BM50" s="26"/>
      <c r="BN50" s="26"/>
      <c r="BO50" s="26"/>
      <c r="BP50" s="26"/>
      <c r="BQ50" s="26"/>
      <c r="BR50" s="26"/>
      <c r="BS50" s="26"/>
      <c r="BT50" s="26"/>
      <c r="BU50" s="26"/>
      <c r="BV50" s="26"/>
      <c r="BW50" s="26"/>
      <c r="BX50" s="26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K50" s="26"/>
      <c r="CL50" s="26"/>
      <c r="CM50" s="26"/>
      <c r="CN50" s="26"/>
      <c r="CO50" s="26"/>
      <c r="CP50" s="26"/>
      <c r="CQ50" s="26"/>
      <c r="CR50" s="26"/>
      <c r="CS50" s="26"/>
      <c r="CT50" s="26"/>
      <c r="CU50" s="26"/>
      <c r="CV50" s="26"/>
      <c r="CW50" s="26"/>
      <c r="CX50" s="26"/>
      <c r="CY50" s="26"/>
      <c r="CZ50" s="26"/>
      <c r="DA50" s="26"/>
      <c r="DB50" s="26"/>
      <c r="DC50" s="26"/>
      <c r="DD50" s="26"/>
    </row>
    <row r="51" spans="8:108" x14ac:dyDescent="0.2">
      <c r="H51" s="27">
        <f t="shared" si="0"/>
        <v>49</v>
      </c>
      <c r="I51">
        <v>100</v>
      </c>
      <c r="J51">
        <v>200</v>
      </c>
      <c r="K51">
        <v>100</v>
      </c>
      <c r="L51">
        <v>35</v>
      </c>
      <c r="M51">
        <v>42</v>
      </c>
      <c r="N51">
        <v>80</v>
      </c>
      <c r="O51">
        <v>70</v>
      </c>
      <c r="P51">
        <v>168</v>
      </c>
      <c r="Q51">
        <v>120</v>
      </c>
      <c r="R51">
        <v>240</v>
      </c>
      <c r="S51">
        <v>120</v>
      </c>
      <c r="T51">
        <v>120</v>
      </c>
      <c r="U51">
        <v>30</v>
      </c>
      <c r="V51">
        <v>24</v>
      </c>
      <c r="W51">
        <v>25</v>
      </c>
      <c r="X51">
        <v>30</v>
      </c>
      <c r="Y51">
        <v>100</v>
      </c>
      <c r="Z51">
        <v>35</v>
      </c>
      <c r="AA51">
        <v>20</v>
      </c>
      <c r="AB51">
        <v>84</v>
      </c>
      <c r="AC51">
        <v>120</v>
      </c>
      <c r="AD51">
        <v>35</v>
      </c>
      <c r="AE51">
        <v>100</v>
      </c>
      <c r="AF51">
        <v>35</v>
      </c>
      <c r="AG51">
        <v>140</v>
      </c>
      <c r="AH51">
        <v>50</v>
      </c>
      <c r="AI51">
        <v>24</v>
      </c>
      <c r="AJ51">
        <v>20</v>
      </c>
      <c r="AK51">
        <v>24</v>
      </c>
      <c r="AL51">
        <v>35</v>
      </c>
      <c r="AM51">
        <v>35</v>
      </c>
      <c r="AN51">
        <v>24</v>
      </c>
      <c r="AO51">
        <v>42</v>
      </c>
      <c r="AP51">
        <v>20</v>
      </c>
      <c r="AQ51">
        <v>100</v>
      </c>
      <c r="AR51">
        <v>30</v>
      </c>
      <c r="AS51">
        <v>120</v>
      </c>
      <c r="AT51">
        <v>84</v>
      </c>
      <c r="AU51">
        <v>24</v>
      </c>
      <c r="AV51">
        <v>100</v>
      </c>
      <c r="AW51">
        <v>42</v>
      </c>
      <c r="AX51">
        <v>168</v>
      </c>
      <c r="AY51">
        <v>100</v>
      </c>
      <c r="AZ51">
        <v>30</v>
      </c>
      <c r="BA51">
        <v>80</v>
      </c>
      <c r="BB51">
        <v>35</v>
      </c>
      <c r="BC51">
        <v>35</v>
      </c>
      <c r="BD51">
        <v>35</v>
      </c>
      <c r="BE51">
        <v>140</v>
      </c>
      <c r="BF51">
        <v>200</v>
      </c>
      <c r="BG51" s="26"/>
      <c r="BH51" s="26"/>
      <c r="BI51" s="26"/>
      <c r="BJ51" s="26"/>
      <c r="BK51" s="26"/>
      <c r="BL51" s="26"/>
      <c r="BM51" s="26"/>
      <c r="BN51" s="26"/>
      <c r="BO51" s="26"/>
      <c r="BP51" s="26"/>
      <c r="BQ51" s="26"/>
      <c r="BR51" s="26"/>
      <c r="BS51" s="26"/>
      <c r="BT51" s="26"/>
      <c r="BU51" s="26"/>
      <c r="BV51" s="26"/>
      <c r="BW51" s="26"/>
      <c r="BX51" s="26"/>
      <c r="BY51" s="26"/>
      <c r="BZ51" s="26"/>
      <c r="CA51" s="26"/>
      <c r="CB51" s="26"/>
      <c r="CC51" s="26"/>
      <c r="CD51" s="26"/>
      <c r="CE51" s="26"/>
      <c r="CF51" s="26"/>
      <c r="CG51" s="26"/>
      <c r="CH51" s="26"/>
      <c r="CI51" s="26"/>
      <c r="CJ51" s="26"/>
      <c r="CK51" s="26"/>
      <c r="CL51" s="26"/>
      <c r="CM51" s="26"/>
      <c r="CN51" s="26"/>
      <c r="CO51" s="26"/>
      <c r="CP51" s="26"/>
      <c r="CQ51" s="26"/>
      <c r="CR51" s="26"/>
      <c r="CS51" s="26"/>
      <c r="CT51" s="26"/>
      <c r="CU51" s="26"/>
      <c r="CV51" s="26"/>
      <c r="CW51" s="26"/>
      <c r="CX51" s="26"/>
      <c r="CY51" s="26"/>
      <c r="CZ51" s="26"/>
      <c r="DA51" s="26"/>
      <c r="DB51" s="26"/>
      <c r="DC51" s="26"/>
      <c r="DD51" s="26"/>
    </row>
    <row r="52" spans="8:108" x14ac:dyDescent="0.2">
      <c r="H52" s="27">
        <f t="shared" si="0"/>
        <v>50</v>
      </c>
      <c r="I52">
        <v>24</v>
      </c>
      <c r="J52">
        <v>96</v>
      </c>
      <c r="K52">
        <v>100</v>
      </c>
      <c r="L52">
        <v>30</v>
      </c>
      <c r="M52">
        <v>35</v>
      </c>
      <c r="N52">
        <v>35</v>
      </c>
      <c r="O52">
        <v>24</v>
      </c>
      <c r="P52">
        <v>100</v>
      </c>
      <c r="Q52">
        <v>70</v>
      </c>
      <c r="R52">
        <v>168</v>
      </c>
      <c r="S52">
        <v>35</v>
      </c>
      <c r="T52">
        <v>35</v>
      </c>
      <c r="U52">
        <v>84</v>
      </c>
      <c r="V52">
        <v>42</v>
      </c>
      <c r="W52">
        <v>35</v>
      </c>
      <c r="X52">
        <v>240</v>
      </c>
      <c r="Y52">
        <v>35</v>
      </c>
      <c r="Z52">
        <v>30</v>
      </c>
      <c r="AA52">
        <v>24</v>
      </c>
      <c r="AB52">
        <v>96</v>
      </c>
      <c r="AC52">
        <v>20</v>
      </c>
      <c r="AD52">
        <v>120</v>
      </c>
      <c r="AE52">
        <v>84</v>
      </c>
      <c r="AF52">
        <v>20</v>
      </c>
      <c r="AG52">
        <v>100</v>
      </c>
      <c r="AH52">
        <v>35</v>
      </c>
      <c r="AI52">
        <v>42</v>
      </c>
      <c r="AJ52">
        <v>35</v>
      </c>
      <c r="AK52">
        <v>20</v>
      </c>
      <c r="AL52">
        <v>80</v>
      </c>
      <c r="AM52">
        <v>42</v>
      </c>
      <c r="AN52">
        <v>200</v>
      </c>
      <c r="AO52">
        <v>25</v>
      </c>
      <c r="AP52">
        <v>140</v>
      </c>
      <c r="AQ52">
        <v>35</v>
      </c>
      <c r="AR52">
        <v>120</v>
      </c>
      <c r="AS52">
        <v>5</v>
      </c>
      <c r="AT52">
        <v>35</v>
      </c>
      <c r="AU52">
        <v>25</v>
      </c>
      <c r="AV52">
        <v>80</v>
      </c>
      <c r="AW52">
        <v>120</v>
      </c>
      <c r="AX52">
        <v>35</v>
      </c>
      <c r="AY52">
        <v>35</v>
      </c>
      <c r="AZ52">
        <v>35</v>
      </c>
      <c r="BA52">
        <v>24</v>
      </c>
      <c r="BB52">
        <v>35</v>
      </c>
      <c r="BC52">
        <v>35</v>
      </c>
      <c r="BD52">
        <v>200</v>
      </c>
      <c r="BE52">
        <v>84</v>
      </c>
      <c r="BF52">
        <v>96</v>
      </c>
      <c r="BG52" s="26"/>
      <c r="BH52" s="26"/>
      <c r="BI52" s="26"/>
      <c r="BJ52" s="26"/>
      <c r="BK52" s="26"/>
      <c r="BL52" s="26"/>
      <c r="BM52" s="26"/>
      <c r="BN52" s="26"/>
      <c r="BO52" s="26"/>
      <c r="BP52" s="26"/>
      <c r="BQ52" s="26"/>
      <c r="BR52" s="26"/>
      <c r="BS52" s="26"/>
      <c r="BT52" s="26"/>
      <c r="BU52" s="26"/>
      <c r="BV52" s="26"/>
      <c r="BW52" s="26"/>
      <c r="BX52" s="26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K52" s="26"/>
      <c r="CL52" s="26"/>
      <c r="CM52" s="26"/>
      <c r="CN52" s="26"/>
      <c r="CO52" s="26"/>
      <c r="CP52" s="26"/>
      <c r="CQ52" s="26"/>
      <c r="CR52" s="26"/>
      <c r="CS52" s="26"/>
      <c r="CT52" s="26"/>
      <c r="CU52" s="26"/>
      <c r="CV52" s="26"/>
      <c r="CW52" s="26"/>
      <c r="CX52" s="26"/>
      <c r="CY52" s="26"/>
      <c r="CZ52" s="26"/>
      <c r="DA52" s="26"/>
      <c r="DB52" s="26"/>
      <c r="DC52" s="26"/>
      <c r="DD52" s="26"/>
    </row>
    <row r="53" spans="8:108" x14ac:dyDescent="0.2">
      <c r="H53" s="27">
        <f t="shared" si="0"/>
        <v>51</v>
      </c>
      <c r="I53">
        <v>70</v>
      </c>
      <c r="J53">
        <v>50</v>
      </c>
      <c r="K53">
        <v>42</v>
      </c>
      <c r="L53">
        <v>80</v>
      </c>
      <c r="M53">
        <v>96</v>
      </c>
      <c r="N53">
        <v>35</v>
      </c>
      <c r="O53">
        <v>140</v>
      </c>
      <c r="P53">
        <v>80</v>
      </c>
      <c r="Q53">
        <v>35</v>
      </c>
      <c r="R53">
        <v>20</v>
      </c>
      <c r="S53">
        <v>35</v>
      </c>
      <c r="T53">
        <v>42</v>
      </c>
      <c r="U53">
        <v>120</v>
      </c>
      <c r="V53">
        <v>240</v>
      </c>
      <c r="W53">
        <v>30</v>
      </c>
      <c r="X53">
        <v>35</v>
      </c>
      <c r="Y53">
        <v>72</v>
      </c>
      <c r="Z53">
        <v>24</v>
      </c>
      <c r="AA53">
        <v>140</v>
      </c>
      <c r="AB53">
        <v>120</v>
      </c>
      <c r="AC53">
        <v>96</v>
      </c>
      <c r="AD53">
        <v>70</v>
      </c>
      <c r="AE53">
        <v>120</v>
      </c>
      <c r="AF53">
        <v>25</v>
      </c>
      <c r="AG53">
        <v>24</v>
      </c>
      <c r="AH53">
        <v>80</v>
      </c>
      <c r="AI53">
        <v>100</v>
      </c>
      <c r="AJ53">
        <v>60</v>
      </c>
      <c r="AK53">
        <v>42</v>
      </c>
      <c r="AL53">
        <v>80</v>
      </c>
      <c r="AM53">
        <v>35</v>
      </c>
      <c r="AN53">
        <v>35</v>
      </c>
      <c r="AO53">
        <v>35</v>
      </c>
      <c r="AP53">
        <v>24</v>
      </c>
      <c r="AQ53">
        <v>35</v>
      </c>
      <c r="AR53">
        <v>35</v>
      </c>
      <c r="AS53">
        <v>35</v>
      </c>
      <c r="AT53">
        <v>200</v>
      </c>
      <c r="AU53">
        <v>120</v>
      </c>
      <c r="AV53">
        <v>24</v>
      </c>
      <c r="AW53">
        <v>42</v>
      </c>
      <c r="AX53">
        <v>24</v>
      </c>
      <c r="AY53">
        <v>20</v>
      </c>
      <c r="AZ53">
        <v>140</v>
      </c>
      <c r="BA53">
        <v>20</v>
      </c>
      <c r="BB53">
        <v>80</v>
      </c>
      <c r="BC53">
        <v>70</v>
      </c>
      <c r="BD53">
        <v>84</v>
      </c>
      <c r="BE53">
        <v>35</v>
      </c>
      <c r="BF53">
        <v>35</v>
      </c>
      <c r="BG53" s="26"/>
      <c r="BH53" s="26"/>
      <c r="BI53" s="26"/>
      <c r="BJ53" s="26"/>
      <c r="BK53" s="26"/>
      <c r="BL53" s="26"/>
      <c r="BM53" s="26"/>
      <c r="BN53" s="26"/>
      <c r="BO53" s="26"/>
      <c r="BP53" s="26"/>
      <c r="BQ53" s="26"/>
      <c r="BR53" s="26"/>
      <c r="BS53" s="26"/>
      <c r="BT53" s="26"/>
      <c r="BU53" s="26"/>
      <c r="BV53" s="26"/>
      <c r="BW53" s="26"/>
      <c r="BX53" s="26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K53" s="26"/>
      <c r="CL53" s="26"/>
      <c r="CM53" s="26"/>
      <c r="CN53" s="26"/>
      <c r="CO53" s="26"/>
      <c r="CP53" s="26"/>
      <c r="CQ53" s="26"/>
      <c r="CR53" s="26"/>
      <c r="CS53" s="26"/>
      <c r="CT53" s="26"/>
      <c r="CU53" s="26"/>
      <c r="CV53" s="26"/>
      <c r="CW53" s="26"/>
      <c r="CX53" s="26"/>
      <c r="CY53" s="26"/>
      <c r="CZ53" s="26"/>
      <c r="DA53" s="26"/>
      <c r="DB53" s="26"/>
      <c r="DC53" s="26"/>
      <c r="DD53" s="26"/>
    </row>
    <row r="54" spans="8:108" x14ac:dyDescent="0.2">
      <c r="H54" s="27">
        <f t="shared" si="0"/>
        <v>52</v>
      </c>
      <c r="I54">
        <v>35</v>
      </c>
      <c r="J54">
        <v>140</v>
      </c>
      <c r="K54">
        <v>42</v>
      </c>
      <c r="L54">
        <v>35</v>
      </c>
      <c r="M54">
        <v>20</v>
      </c>
      <c r="N54">
        <v>35</v>
      </c>
      <c r="O54">
        <v>35</v>
      </c>
      <c r="P54">
        <v>35</v>
      </c>
      <c r="Q54">
        <v>35</v>
      </c>
      <c r="R54">
        <v>70</v>
      </c>
      <c r="S54">
        <v>42</v>
      </c>
      <c r="T54">
        <v>96</v>
      </c>
      <c r="U54">
        <v>80</v>
      </c>
      <c r="V54">
        <v>24</v>
      </c>
      <c r="W54">
        <v>96</v>
      </c>
      <c r="X54">
        <v>20</v>
      </c>
      <c r="Y54">
        <v>200</v>
      </c>
      <c r="Z54">
        <v>50</v>
      </c>
      <c r="AA54">
        <v>35</v>
      </c>
      <c r="AB54">
        <v>35</v>
      </c>
      <c r="AC54">
        <v>42</v>
      </c>
      <c r="AD54">
        <v>25</v>
      </c>
      <c r="AE54">
        <v>120</v>
      </c>
      <c r="AF54">
        <v>35</v>
      </c>
      <c r="AG54">
        <v>80</v>
      </c>
      <c r="AH54">
        <v>168</v>
      </c>
      <c r="AI54">
        <v>100</v>
      </c>
      <c r="AJ54">
        <v>100</v>
      </c>
      <c r="AK54">
        <v>168</v>
      </c>
      <c r="AL54">
        <v>5</v>
      </c>
      <c r="AM54">
        <v>42</v>
      </c>
      <c r="AN54">
        <v>80</v>
      </c>
      <c r="AO54">
        <v>20</v>
      </c>
      <c r="AP54">
        <v>42</v>
      </c>
      <c r="AQ54">
        <v>42</v>
      </c>
      <c r="AR54">
        <v>120</v>
      </c>
      <c r="AS54">
        <v>42</v>
      </c>
      <c r="AT54">
        <v>42</v>
      </c>
      <c r="AU54">
        <v>240</v>
      </c>
      <c r="AV54">
        <v>140</v>
      </c>
      <c r="AW54">
        <v>35</v>
      </c>
      <c r="AX54">
        <v>35</v>
      </c>
      <c r="AY54">
        <v>140</v>
      </c>
      <c r="AZ54">
        <v>35</v>
      </c>
      <c r="BA54">
        <v>20</v>
      </c>
      <c r="BB54">
        <v>120</v>
      </c>
      <c r="BC54">
        <v>42</v>
      </c>
      <c r="BD54">
        <v>35</v>
      </c>
      <c r="BE54">
        <v>96</v>
      </c>
      <c r="BF54">
        <v>96</v>
      </c>
      <c r="BG54" s="26"/>
      <c r="BH54" s="26"/>
      <c r="BI54" s="26"/>
      <c r="BJ54" s="26"/>
      <c r="BK54" s="26"/>
      <c r="BL54" s="26"/>
      <c r="BM54" s="26"/>
      <c r="BN54" s="26"/>
      <c r="BO54" s="26"/>
      <c r="BP54" s="26"/>
      <c r="BQ54" s="26"/>
      <c r="BR54" s="26"/>
      <c r="BS54" s="26"/>
      <c r="BT54" s="26"/>
      <c r="BU54" s="26"/>
      <c r="BV54" s="26"/>
      <c r="BW54" s="26"/>
      <c r="BX54" s="26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K54" s="26"/>
      <c r="CL54" s="26"/>
      <c r="CM54" s="26"/>
      <c r="CN54" s="26"/>
      <c r="CO54" s="26"/>
      <c r="CP54" s="26"/>
      <c r="CQ54" s="26"/>
      <c r="CR54" s="26"/>
      <c r="CS54" s="26"/>
      <c r="CT54" s="26"/>
      <c r="CU54" s="26"/>
      <c r="CV54" s="26"/>
      <c r="CW54" s="26"/>
      <c r="CX54" s="26"/>
      <c r="CY54" s="26"/>
      <c r="CZ54" s="26"/>
      <c r="DA54" s="26"/>
      <c r="DB54" s="26"/>
      <c r="DC54" s="26"/>
      <c r="DD54" s="26"/>
    </row>
    <row r="55" spans="8:108" x14ac:dyDescent="0.2">
      <c r="H55" s="27">
        <f t="shared" si="0"/>
        <v>53</v>
      </c>
      <c r="I55">
        <v>42</v>
      </c>
      <c r="J55">
        <v>84</v>
      </c>
      <c r="K55">
        <v>42</v>
      </c>
      <c r="L55">
        <v>35</v>
      </c>
      <c r="M55">
        <v>70</v>
      </c>
      <c r="N55">
        <v>42</v>
      </c>
      <c r="O55">
        <v>42</v>
      </c>
      <c r="P55">
        <v>120</v>
      </c>
      <c r="Q55">
        <v>100</v>
      </c>
      <c r="R55">
        <v>70</v>
      </c>
      <c r="S55">
        <v>140</v>
      </c>
      <c r="T55">
        <v>100</v>
      </c>
      <c r="U55">
        <v>35</v>
      </c>
      <c r="V55">
        <v>25</v>
      </c>
      <c r="W55">
        <v>20</v>
      </c>
      <c r="X55">
        <v>96</v>
      </c>
      <c r="Y55">
        <v>20</v>
      </c>
      <c r="Z55">
        <v>120</v>
      </c>
      <c r="AA55">
        <v>100</v>
      </c>
      <c r="AB55">
        <v>20</v>
      </c>
      <c r="AC55">
        <v>70</v>
      </c>
      <c r="AD55">
        <v>24</v>
      </c>
      <c r="AE55">
        <v>30</v>
      </c>
      <c r="AF55">
        <v>20</v>
      </c>
      <c r="AG55">
        <v>24</v>
      </c>
      <c r="AH55">
        <v>30</v>
      </c>
      <c r="AI55">
        <v>140</v>
      </c>
      <c r="AJ55">
        <v>35</v>
      </c>
      <c r="AK55">
        <v>35</v>
      </c>
      <c r="AL55">
        <v>80</v>
      </c>
      <c r="AM55">
        <v>24</v>
      </c>
      <c r="AN55">
        <v>25</v>
      </c>
      <c r="AO55">
        <v>24</v>
      </c>
      <c r="AP55">
        <v>24</v>
      </c>
      <c r="AQ55">
        <v>84</v>
      </c>
      <c r="AR55">
        <v>35</v>
      </c>
      <c r="AS55">
        <v>42</v>
      </c>
      <c r="AT55">
        <v>24</v>
      </c>
      <c r="AU55">
        <v>42</v>
      </c>
      <c r="AV55">
        <v>80</v>
      </c>
      <c r="AW55">
        <v>35</v>
      </c>
      <c r="AX55">
        <v>35</v>
      </c>
      <c r="AY55">
        <v>35</v>
      </c>
      <c r="AZ55">
        <v>120</v>
      </c>
      <c r="BA55">
        <v>80</v>
      </c>
      <c r="BB55">
        <v>25</v>
      </c>
      <c r="BC55">
        <v>100</v>
      </c>
      <c r="BD55">
        <v>35</v>
      </c>
      <c r="BE55">
        <v>24</v>
      </c>
      <c r="BF55">
        <v>60</v>
      </c>
      <c r="BG55" s="26"/>
      <c r="BH55" s="26"/>
      <c r="BI55" s="26"/>
      <c r="BJ55" s="26"/>
      <c r="BK55" s="26"/>
      <c r="BL55" s="26"/>
      <c r="BM55" s="26"/>
      <c r="BN55" s="26"/>
      <c r="BO55" s="26"/>
      <c r="BP55" s="26"/>
      <c r="BQ55" s="26"/>
      <c r="BR55" s="26"/>
      <c r="BS55" s="26"/>
      <c r="BT55" s="26"/>
      <c r="BU55" s="26"/>
      <c r="BV55" s="26"/>
      <c r="BW55" s="26"/>
      <c r="BX55" s="26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K55" s="26"/>
      <c r="CL55" s="26"/>
      <c r="CM55" s="26"/>
      <c r="CN55" s="26"/>
      <c r="CO55" s="26"/>
      <c r="CP55" s="26"/>
      <c r="CQ55" s="26"/>
      <c r="CR55" s="26"/>
      <c r="CS55" s="26"/>
      <c r="CT55" s="26"/>
      <c r="CU55" s="26"/>
      <c r="CV55" s="26"/>
      <c r="CW55" s="26"/>
      <c r="CX55" s="26"/>
      <c r="CY55" s="26"/>
      <c r="CZ55" s="26"/>
      <c r="DA55" s="26"/>
      <c r="DB55" s="26"/>
      <c r="DC55" s="26"/>
      <c r="DD55" s="26"/>
    </row>
    <row r="56" spans="8:108" x14ac:dyDescent="0.2">
      <c r="H56" s="27">
        <f t="shared" si="0"/>
        <v>54</v>
      </c>
      <c r="I56">
        <v>42</v>
      </c>
      <c r="J56">
        <v>35</v>
      </c>
      <c r="K56">
        <v>42</v>
      </c>
      <c r="L56">
        <v>6</v>
      </c>
      <c r="M56">
        <v>42</v>
      </c>
      <c r="N56">
        <v>42</v>
      </c>
      <c r="O56">
        <v>30</v>
      </c>
      <c r="P56">
        <v>80</v>
      </c>
      <c r="Q56">
        <v>100</v>
      </c>
      <c r="R56">
        <v>42</v>
      </c>
      <c r="S56">
        <v>42</v>
      </c>
      <c r="T56">
        <v>20</v>
      </c>
      <c r="U56">
        <v>30</v>
      </c>
      <c r="V56">
        <v>25</v>
      </c>
      <c r="W56">
        <v>80</v>
      </c>
      <c r="X56">
        <v>140</v>
      </c>
      <c r="Y56">
        <v>24</v>
      </c>
      <c r="Z56">
        <v>200</v>
      </c>
      <c r="AA56">
        <v>35</v>
      </c>
      <c r="AB56">
        <v>42</v>
      </c>
      <c r="AC56">
        <v>168</v>
      </c>
      <c r="AD56">
        <v>96</v>
      </c>
      <c r="AE56">
        <v>20</v>
      </c>
      <c r="AF56">
        <v>42</v>
      </c>
      <c r="AG56">
        <v>120</v>
      </c>
      <c r="AH56">
        <v>42</v>
      </c>
      <c r="AI56">
        <v>84</v>
      </c>
      <c r="AJ56">
        <v>35</v>
      </c>
      <c r="AK56">
        <v>24</v>
      </c>
      <c r="AL56">
        <v>24</v>
      </c>
      <c r="AM56">
        <v>200</v>
      </c>
      <c r="AN56">
        <v>20</v>
      </c>
      <c r="AO56">
        <v>24</v>
      </c>
      <c r="AP56">
        <v>20</v>
      </c>
      <c r="AQ56">
        <v>100</v>
      </c>
      <c r="AR56">
        <v>20</v>
      </c>
      <c r="AS56">
        <v>42</v>
      </c>
      <c r="AT56">
        <v>20</v>
      </c>
      <c r="AU56">
        <v>24</v>
      </c>
      <c r="AV56">
        <v>100</v>
      </c>
      <c r="AW56">
        <v>84</v>
      </c>
      <c r="AX56">
        <v>140</v>
      </c>
      <c r="AY56">
        <v>70</v>
      </c>
      <c r="AZ56">
        <v>100</v>
      </c>
      <c r="BA56">
        <v>96</v>
      </c>
      <c r="BB56">
        <v>80</v>
      </c>
      <c r="BC56">
        <v>35</v>
      </c>
      <c r="BD56">
        <v>24</v>
      </c>
      <c r="BE56">
        <v>25</v>
      </c>
      <c r="BF56">
        <v>80</v>
      </c>
      <c r="BG56" s="26"/>
      <c r="BH56" s="26"/>
      <c r="BI56" s="26"/>
      <c r="BJ56" s="26"/>
      <c r="BK56" s="26"/>
      <c r="BL56" s="26"/>
      <c r="BM56" s="26"/>
      <c r="BN56" s="26"/>
      <c r="BO56" s="26"/>
      <c r="BP56" s="26"/>
      <c r="BQ56" s="26"/>
      <c r="BR56" s="26"/>
      <c r="BS56" s="26"/>
      <c r="BT56" s="26"/>
      <c r="BU56" s="26"/>
      <c r="BV56" s="26"/>
      <c r="BW56" s="26"/>
      <c r="BX56" s="26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K56" s="26"/>
      <c r="CL56" s="26"/>
      <c r="CM56" s="26"/>
      <c r="CN56" s="26"/>
      <c r="CO56" s="26"/>
      <c r="CP56" s="26"/>
      <c r="CQ56" s="26"/>
      <c r="CR56" s="26"/>
      <c r="CS56" s="26"/>
      <c r="CT56" s="26"/>
      <c r="CU56" s="26"/>
      <c r="CV56" s="26"/>
      <c r="CW56" s="26"/>
      <c r="CX56" s="26"/>
      <c r="CY56" s="26"/>
      <c r="CZ56" s="26"/>
      <c r="DA56" s="26"/>
      <c r="DB56" s="26"/>
      <c r="DC56" s="26"/>
      <c r="DD56" s="26"/>
    </row>
    <row r="57" spans="8:108" x14ac:dyDescent="0.2">
      <c r="H57" s="27">
        <f t="shared" si="0"/>
        <v>55</v>
      </c>
      <c r="I57">
        <v>25</v>
      </c>
      <c r="J57">
        <v>100</v>
      </c>
      <c r="K57">
        <v>42</v>
      </c>
      <c r="L57">
        <v>168</v>
      </c>
      <c r="M57">
        <v>35</v>
      </c>
      <c r="N57">
        <v>20</v>
      </c>
      <c r="O57">
        <v>35</v>
      </c>
      <c r="P57">
        <v>100</v>
      </c>
      <c r="Q57">
        <v>35</v>
      </c>
      <c r="R57">
        <v>60</v>
      </c>
      <c r="S57">
        <v>5</v>
      </c>
      <c r="T57">
        <v>168</v>
      </c>
      <c r="U57">
        <v>140</v>
      </c>
      <c r="V57">
        <v>24</v>
      </c>
      <c r="W57">
        <v>25</v>
      </c>
      <c r="X57">
        <v>35</v>
      </c>
      <c r="Y57">
        <v>120</v>
      </c>
      <c r="Z57">
        <v>25</v>
      </c>
      <c r="AA57">
        <v>25</v>
      </c>
      <c r="AB57">
        <v>120</v>
      </c>
      <c r="AC57">
        <v>100</v>
      </c>
      <c r="AD57">
        <v>120</v>
      </c>
      <c r="AE57">
        <v>42</v>
      </c>
      <c r="AF57">
        <v>140</v>
      </c>
      <c r="AG57">
        <v>20</v>
      </c>
      <c r="AH57">
        <v>100</v>
      </c>
      <c r="AI57">
        <v>70</v>
      </c>
      <c r="AJ57">
        <v>100</v>
      </c>
      <c r="AK57">
        <v>35</v>
      </c>
      <c r="AL57">
        <v>20</v>
      </c>
      <c r="AM57">
        <v>70</v>
      </c>
      <c r="AN57">
        <v>42</v>
      </c>
      <c r="AO57">
        <v>35</v>
      </c>
      <c r="AP57">
        <v>6</v>
      </c>
      <c r="AQ57">
        <v>140</v>
      </c>
      <c r="AR57">
        <v>24</v>
      </c>
      <c r="AS57">
        <v>42</v>
      </c>
      <c r="AT57">
        <v>42</v>
      </c>
      <c r="AU57">
        <v>168</v>
      </c>
      <c r="AV57">
        <v>24</v>
      </c>
      <c r="AW57">
        <v>24</v>
      </c>
      <c r="AX57">
        <v>20</v>
      </c>
      <c r="AY57">
        <v>20</v>
      </c>
      <c r="AZ57">
        <v>25</v>
      </c>
      <c r="BA57">
        <v>140</v>
      </c>
      <c r="BB57">
        <v>100</v>
      </c>
      <c r="BC57">
        <v>35</v>
      </c>
      <c r="BD57">
        <v>20</v>
      </c>
      <c r="BE57">
        <v>25</v>
      </c>
      <c r="BF57">
        <v>30</v>
      </c>
      <c r="BG57" s="26"/>
      <c r="BH57" s="26"/>
      <c r="BI57" s="26"/>
      <c r="BJ57" s="26"/>
      <c r="BK57" s="26"/>
      <c r="BL57" s="26"/>
      <c r="BM57" s="26"/>
      <c r="BN57" s="26"/>
      <c r="BO57" s="26"/>
      <c r="BP57" s="26"/>
      <c r="BQ57" s="26"/>
      <c r="BR57" s="26"/>
      <c r="BS57" s="26"/>
      <c r="BT57" s="26"/>
      <c r="BU57" s="26"/>
      <c r="BV57" s="26"/>
      <c r="BW57" s="26"/>
      <c r="BX57" s="26"/>
      <c r="BY57" s="26"/>
      <c r="BZ57" s="26"/>
      <c r="CA57" s="26"/>
      <c r="CB57" s="26"/>
      <c r="CC57" s="26"/>
      <c r="CD57" s="26"/>
      <c r="CE57" s="26"/>
      <c r="CF57" s="26"/>
      <c r="CG57" s="26"/>
      <c r="CH57" s="26"/>
      <c r="CI57" s="26"/>
      <c r="CJ57" s="26"/>
      <c r="CK57" s="26"/>
      <c r="CL57" s="26"/>
      <c r="CM57" s="26"/>
      <c r="CN57" s="26"/>
      <c r="CO57" s="26"/>
      <c r="CP57" s="26"/>
      <c r="CQ57" s="26"/>
      <c r="CR57" s="26"/>
      <c r="CS57" s="26"/>
      <c r="CT57" s="26"/>
      <c r="CU57" s="26"/>
      <c r="CV57" s="26"/>
      <c r="CW57" s="26"/>
      <c r="CX57" s="26"/>
      <c r="CY57" s="26"/>
      <c r="CZ57" s="26"/>
      <c r="DA57" s="26"/>
      <c r="DB57" s="26"/>
      <c r="DC57" s="26"/>
      <c r="DD57" s="26"/>
    </row>
    <row r="58" spans="8:108" x14ac:dyDescent="0.2">
      <c r="H58" s="27">
        <f t="shared" si="0"/>
        <v>56</v>
      </c>
      <c r="I58">
        <v>35</v>
      </c>
      <c r="J58">
        <v>20</v>
      </c>
      <c r="K58">
        <v>35</v>
      </c>
      <c r="L58">
        <v>25</v>
      </c>
      <c r="M58">
        <v>20</v>
      </c>
      <c r="N58">
        <v>25</v>
      </c>
      <c r="O58">
        <v>24</v>
      </c>
      <c r="P58">
        <v>80</v>
      </c>
      <c r="Q58">
        <v>25</v>
      </c>
      <c r="R58">
        <v>120</v>
      </c>
      <c r="S58">
        <v>35</v>
      </c>
      <c r="T58">
        <v>42</v>
      </c>
      <c r="U58">
        <v>120</v>
      </c>
      <c r="V58">
        <v>80</v>
      </c>
      <c r="W58">
        <v>140</v>
      </c>
      <c r="X58">
        <v>100</v>
      </c>
      <c r="Y58">
        <v>200</v>
      </c>
      <c r="Z58">
        <v>168</v>
      </c>
      <c r="AA58">
        <v>35</v>
      </c>
      <c r="AB58">
        <v>80</v>
      </c>
      <c r="AC58">
        <v>30</v>
      </c>
      <c r="AD58">
        <v>80</v>
      </c>
      <c r="AE58">
        <v>42</v>
      </c>
      <c r="AF58">
        <v>35</v>
      </c>
      <c r="AG58">
        <v>84</v>
      </c>
      <c r="AH58">
        <v>30</v>
      </c>
      <c r="AI58">
        <v>42</v>
      </c>
      <c r="AJ58">
        <v>25</v>
      </c>
      <c r="AK58">
        <v>42</v>
      </c>
      <c r="AL58">
        <v>80</v>
      </c>
      <c r="AM58">
        <v>42</v>
      </c>
      <c r="AN58">
        <v>25</v>
      </c>
      <c r="AO58">
        <v>80</v>
      </c>
      <c r="AP58">
        <v>20</v>
      </c>
      <c r="AQ58">
        <v>100</v>
      </c>
      <c r="AR58">
        <v>30</v>
      </c>
      <c r="AS58">
        <v>100</v>
      </c>
      <c r="AT58">
        <v>140</v>
      </c>
      <c r="AU58">
        <v>24</v>
      </c>
      <c r="AV58">
        <v>25</v>
      </c>
      <c r="AW58">
        <v>35</v>
      </c>
      <c r="AX58">
        <v>120</v>
      </c>
      <c r="AY58">
        <v>84</v>
      </c>
      <c r="AZ58">
        <v>168</v>
      </c>
      <c r="BA58">
        <v>24</v>
      </c>
      <c r="BB58">
        <v>35</v>
      </c>
      <c r="BC58">
        <v>120</v>
      </c>
      <c r="BD58">
        <v>100</v>
      </c>
      <c r="BE58">
        <v>35</v>
      </c>
      <c r="BF58">
        <v>35</v>
      </c>
      <c r="BG58" s="26"/>
      <c r="BH58" s="26"/>
      <c r="BI58" s="26"/>
      <c r="BJ58" s="26"/>
      <c r="BK58" s="26"/>
      <c r="BL58" s="26"/>
      <c r="BM58" s="26"/>
      <c r="BN58" s="26"/>
      <c r="BO58" s="26"/>
      <c r="BP58" s="26"/>
      <c r="BQ58" s="26"/>
      <c r="BR58" s="26"/>
      <c r="BS58" s="26"/>
      <c r="BT58" s="26"/>
      <c r="BU58" s="26"/>
      <c r="BV58" s="26"/>
      <c r="BW58" s="26"/>
      <c r="BX58" s="26"/>
      <c r="BY58" s="26"/>
      <c r="BZ58" s="26"/>
      <c r="CA58" s="26"/>
      <c r="CB58" s="26"/>
      <c r="CC58" s="26"/>
      <c r="CD58" s="26"/>
      <c r="CE58" s="26"/>
      <c r="CF58" s="26"/>
      <c r="CG58" s="26"/>
      <c r="CH58" s="26"/>
      <c r="CI58" s="26"/>
      <c r="CJ58" s="26"/>
      <c r="CK58" s="26"/>
      <c r="CL58" s="26"/>
      <c r="CM58" s="26"/>
      <c r="CN58" s="26"/>
      <c r="CO58" s="26"/>
      <c r="CP58" s="26"/>
      <c r="CQ58" s="26"/>
      <c r="CR58" s="26"/>
      <c r="CS58" s="26"/>
      <c r="CT58" s="26"/>
      <c r="CU58" s="26"/>
      <c r="CV58" s="26"/>
      <c r="CW58" s="26"/>
      <c r="CX58" s="26"/>
      <c r="CY58" s="26"/>
      <c r="CZ58" s="26"/>
      <c r="DA58" s="26"/>
      <c r="DB58" s="26"/>
      <c r="DC58" s="26"/>
      <c r="DD58" s="26"/>
    </row>
    <row r="59" spans="8:108" x14ac:dyDescent="0.2">
      <c r="H59" s="27">
        <f t="shared" si="0"/>
        <v>57</v>
      </c>
      <c r="I59">
        <v>35</v>
      </c>
      <c r="J59">
        <v>24</v>
      </c>
      <c r="K59">
        <v>20</v>
      </c>
      <c r="L59">
        <v>140</v>
      </c>
      <c r="M59">
        <v>30</v>
      </c>
      <c r="N59">
        <v>30</v>
      </c>
      <c r="O59">
        <v>35</v>
      </c>
      <c r="P59">
        <v>20</v>
      </c>
      <c r="Q59">
        <v>100</v>
      </c>
      <c r="R59">
        <v>20</v>
      </c>
      <c r="S59">
        <v>25</v>
      </c>
      <c r="T59">
        <v>120</v>
      </c>
      <c r="U59">
        <v>20</v>
      </c>
      <c r="V59">
        <v>60</v>
      </c>
      <c r="W59">
        <v>35</v>
      </c>
      <c r="X59">
        <v>35</v>
      </c>
      <c r="Y59">
        <v>42</v>
      </c>
      <c r="Z59">
        <v>168</v>
      </c>
      <c r="AA59">
        <v>35</v>
      </c>
      <c r="AB59">
        <v>100</v>
      </c>
      <c r="AC59">
        <v>168</v>
      </c>
      <c r="AD59">
        <v>168</v>
      </c>
      <c r="AE59">
        <v>30</v>
      </c>
      <c r="AF59">
        <v>20</v>
      </c>
      <c r="AG59">
        <v>24</v>
      </c>
      <c r="AH59">
        <v>96</v>
      </c>
      <c r="AI59">
        <v>84</v>
      </c>
      <c r="AJ59">
        <v>80</v>
      </c>
      <c r="AK59">
        <v>140</v>
      </c>
      <c r="AL59">
        <v>35</v>
      </c>
      <c r="AM59">
        <v>100</v>
      </c>
      <c r="AN59">
        <v>120</v>
      </c>
      <c r="AO59">
        <v>24</v>
      </c>
      <c r="AP59">
        <v>240</v>
      </c>
      <c r="AQ59">
        <v>25</v>
      </c>
      <c r="AR59">
        <v>100</v>
      </c>
      <c r="AS59">
        <v>168</v>
      </c>
      <c r="AT59">
        <v>20</v>
      </c>
      <c r="AU59">
        <v>20</v>
      </c>
      <c r="AV59">
        <v>24</v>
      </c>
      <c r="AW59">
        <v>35</v>
      </c>
      <c r="AX59">
        <v>100</v>
      </c>
      <c r="AY59">
        <v>24</v>
      </c>
      <c r="AZ59">
        <v>168</v>
      </c>
      <c r="BA59">
        <v>35</v>
      </c>
      <c r="BB59">
        <v>96</v>
      </c>
      <c r="BC59">
        <v>100</v>
      </c>
      <c r="BD59">
        <v>20</v>
      </c>
      <c r="BE59">
        <v>70</v>
      </c>
      <c r="BF59">
        <v>30</v>
      </c>
      <c r="BG59" s="26"/>
      <c r="BH59" s="26"/>
      <c r="BI59" s="26"/>
      <c r="BJ59" s="26"/>
      <c r="BK59" s="26"/>
      <c r="BL59" s="26"/>
      <c r="BM59" s="26"/>
      <c r="BN59" s="26"/>
      <c r="BO59" s="26"/>
      <c r="BP59" s="26"/>
      <c r="BQ59" s="26"/>
      <c r="BR59" s="26"/>
      <c r="BS59" s="26"/>
      <c r="BT59" s="26"/>
      <c r="BU59" s="26"/>
      <c r="BV59" s="26"/>
      <c r="BW59" s="26"/>
      <c r="BX59" s="26"/>
      <c r="BY59" s="26"/>
      <c r="BZ59" s="26"/>
      <c r="CA59" s="26"/>
      <c r="CB59" s="26"/>
      <c r="CC59" s="26"/>
      <c r="CD59" s="26"/>
      <c r="CE59" s="26"/>
      <c r="CF59" s="26"/>
      <c r="CG59" s="26"/>
      <c r="CH59" s="26"/>
      <c r="CI59" s="26"/>
      <c r="CJ59" s="26"/>
      <c r="CK59" s="26"/>
      <c r="CL59" s="26"/>
      <c r="CM59" s="26"/>
      <c r="CN59" s="26"/>
      <c r="CO59" s="26"/>
      <c r="CP59" s="26"/>
      <c r="CQ59" s="26"/>
      <c r="CR59" s="26"/>
      <c r="CS59" s="26"/>
      <c r="CT59" s="26"/>
      <c r="CU59" s="26"/>
      <c r="CV59" s="26"/>
      <c r="CW59" s="26"/>
      <c r="CX59" s="26"/>
      <c r="CY59" s="26"/>
      <c r="CZ59" s="26"/>
      <c r="DA59" s="26"/>
      <c r="DB59" s="26"/>
      <c r="DC59" s="26"/>
      <c r="DD59" s="26"/>
    </row>
    <row r="60" spans="8:108" x14ac:dyDescent="0.2">
      <c r="H60" s="27">
        <f t="shared" si="0"/>
        <v>58</v>
      </c>
      <c r="I60">
        <v>96</v>
      </c>
      <c r="J60">
        <v>20</v>
      </c>
      <c r="K60">
        <v>200</v>
      </c>
      <c r="L60">
        <v>84</v>
      </c>
      <c r="M60">
        <v>80</v>
      </c>
      <c r="N60">
        <v>20</v>
      </c>
      <c r="O60">
        <v>240</v>
      </c>
      <c r="P60">
        <v>42</v>
      </c>
      <c r="Q60">
        <v>24</v>
      </c>
      <c r="R60">
        <v>24</v>
      </c>
      <c r="S60">
        <v>20</v>
      </c>
      <c r="T60">
        <v>20</v>
      </c>
      <c r="U60">
        <v>100</v>
      </c>
      <c r="V60">
        <v>20</v>
      </c>
      <c r="W60">
        <v>80</v>
      </c>
      <c r="X60">
        <v>35</v>
      </c>
      <c r="Y60">
        <v>96</v>
      </c>
      <c r="Z60">
        <v>42</v>
      </c>
      <c r="AA60">
        <v>25</v>
      </c>
      <c r="AB60">
        <v>80</v>
      </c>
      <c r="AC60">
        <v>24</v>
      </c>
      <c r="AD60">
        <v>20</v>
      </c>
      <c r="AE60">
        <v>100</v>
      </c>
      <c r="AF60">
        <v>6</v>
      </c>
      <c r="AG60">
        <v>35</v>
      </c>
      <c r="AH60">
        <v>80</v>
      </c>
      <c r="AI60">
        <v>6</v>
      </c>
      <c r="AJ60">
        <v>24</v>
      </c>
      <c r="AK60">
        <v>140</v>
      </c>
      <c r="AL60">
        <v>80</v>
      </c>
      <c r="AM60">
        <v>168</v>
      </c>
      <c r="AN60">
        <v>20</v>
      </c>
      <c r="AO60">
        <v>24</v>
      </c>
      <c r="AP60">
        <v>42</v>
      </c>
      <c r="AQ60">
        <v>35</v>
      </c>
      <c r="AR60">
        <v>30</v>
      </c>
      <c r="AS60">
        <v>50</v>
      </c>
      <c r="AT60">
        <v>30</v>
      </c>
      <c r="AU60">
        <v>80</v>
      </c>
      <c r="AV60">
        <v>35</v>
      </c>
      <c r="AW60">
        <v>35</v>
      </c>
      <c r="AX60">
        <v>24</v>
      </c>
      <c r="AY60">
        <v>70</v>
      </c>
      <c r="AZ60">
        <v>35</v>
      </c>
      <c r="BA60">
        <v>35</v>
      </c>
      <c r="BB60">
        <v>84</v>
      </c>
      <c r="BC60">
        <v>25</v>
      </c>
      <c r="BD60">
        <v>140</v>
      </c>
      <c r="BE60">
        <v>24</v>
      </c>
      <c r="BF60">
        <v>20</v>
      </c>
      <c r="BG60" s="26"/>
      <c r="BH60" s="26"/>
      <c r="BI60" s="26"/>
      <c r="BJ60" s="26"/>
      <c r="BK60" s="26"/>
      <c r="BL60" s="26"/>
      <c r="BM60" s="26"/>
      <c r="BN60" s="26"/>
      <c r="BO60" s="26"/>
      <c r="BP60" s="26"/>
      <c r="BQ60" s="26"/>
      <c r="BR60" s="26"/>
      <c r="BS60" s="26"/>
      <c r="BT60" s="26"/>
      <c r="BU60" s="26"/>
      <c r="BV60" s="26"/>
      <c r="BW60" s="26"/>
      <c r="BX60" s="26"/>
      <c r="BY60" s="26"/>
      <c r="BZ60" s="26"/>
      <c r="CA60" s="26"/>
      <c r="CB60" s="26"/>
      <c r="CC60" s="26"/>
      <c r="CD60" s="26"/>
      <c r="CE60" s="26"/>
      <c r="CF60" s="26"/>
      <c r="CG60" s="26"/>
      <c r="CH60" s="26"/>
      <c r="CI60" s="26"/>
      <c r="CJ60" s="26"/>
      <c r="CK60" s="26"/>
      <c r="CL60" s="26"/>
      <c r="CM60" s="26"/>
      <c r="CN60" s="26"/>
      <c r="CO60" s="26"/>
      <c r="CP60" s="26"/>
      <c r="CQ60" s="26"/>
      <c r="CR60" s="26"/>
      <c r="CS60" s="26"/>
      <c r="CT60" s="26"/>
      <c r="CU60" s="26"/>
      <c r="CV60" s="26"/>
      <c r="CW60" s="26"/>
      <c r="CX60" s="26"/>
      <c r="CY60" s="26"/>
      <c r="CZ60" s="26"/>
      <c r="DA60" s="26"/>
      <c r="DB60" s="26"/>
      <c r="DC60" s="26"/>
      <c r="DD60" s="26"/>
    </row>
    <row r="61" spans="8:108" x14ac:dyDescent="0.2">
      <c r="H61" s="27">
        <f t="shared" si="0"/>
        <v>59</v>
      </c>
      <c r="I61">
        <v>140</v>
      </c>
      <c r="J61">
        <v>84</v>
      </c>
      <c r="K61">
        <v>20</v>
      </c>
      <c r="L61">
        <v>100</v>
      </c>
      <c r="M61">
        <v>96</v>
      </c>
      <c r="N61">
        <v>42</v>
      </c>
      <c r="O61">
        <v>140</v>
      </c>
      <c r="P61">
        <v>100</v>
      </c>
      <c r="Q61">
        <v>20</v>
      </c>
      <c r="R61">
        <v>42</v>
      </c>
      <c r="S61">
        <v>24</v>
      </c>
      <c r="T61">
        <v>100</v>
      </c>
      <c r="U61">
        <v>84</v>
      </c>
      <c r="V61">
        <v>30</v>
      </c>
      <c r="W61">
        <v>42</v>
      </c>
      <c r="X61">
        <v>140</v>
      </c>
      <c r="Y61">
        <v>30</v>
      </c>
      <c r="Z61">
        <v>100</v>
      </c>
      <c r="AA61">
        <v>35</v>
      </c>
      <c r="AB61">
        <v>168</v>
      </c>
      <c r="AC61">
        <v>96</v>
      </c>
      <c r="AD61">
        <v>42</v>
      </c>
      <c r="AE61">
        <v>35</v>
      </c>
      <c r="AF61">
        <v>140</v>
      </c>
      <c r="AG61">
        <v>24</v>
      </c>
      <c r="AH61">
        <v>84</v>
      </c>
      <c r="AI61">
        <v>70</v>
      </c>
      <c r="AJ61">
        <v>120</v>
      </c>
      <c r="AK61">
        <v>168</v>
      </c>
      <c r="AL61">
        <v>35</v>
      </c>
      <c r="AM61">
        <v>24</v>
      </c>
      <c r="AN61">
        <v>120</v>
      </c>
      <c r="AO61">
        <v>25</v>
      </c>
      <c r="AP61">
        <v>140</v>
      </c>
      <c r="AQ61">
        <v>168</v>
      </c>
      <c r="AR61">
        <v>42</v>
      </c>
      <c r="AS61">
        <v>84</v>
      </c>
      <c r="AT61">
        <v>35</v>
      </c>
      <c r="AU61">
        <v>42</v>
      </c>
      <c r="AV61">
        <v>168</v>
      </c>
      <c r="AW61">
        <v>25</v>
      </c>
      <c r="AX61">
        <v>168</v>
      </c>
      <c r="AY61">
        <v>42</v>
      </c>
      <c r="AZ61">
        <v>42</v>
      </c>
      <c r="BA61">
        <v>35</v>
      </c>
      <c r="BB61">
        <v>30</v>
      </c>
      <c r="BC61">
        <v>168</v>
      </c>
      <c r="BD61">
        <v>42</v>
      </c>
      <c r="BE61">
        <v>100</v>
      </c>
      <c r="BF61">
        <v>120</v>
      </c>
      <c r="BG61" s="26"/>
      <c r="BH61" s="26"/>
      <c r="BI61" s="26"/>
      <c r="BJ61" s="26"/>
      <c r="BK61" s="26"/>
      <c r="BL61" s="26"/>
      <c r="BM61" s="26"/>
      <c r="BN61" s="26"/>
      <c r="BO61" s="26"/>
      <c r="BP61" s="26"/>
      <c r="BQ61" s="26"/>
      <c r="BR61" s="26"/>
      <c r="BS61" s="26"/>
      <c r="BT61" s="26"/>
      <c r="BU61" s="26"/>
      <c r="BV61" s="26"/>
      <c r="BW61" s="26"/>
      <c r="BX61" s="26"/>
      <c r="BY61" s="26"/>
      <c r="BZ61" s="26"/>
      <c r="CA61" s="26"/>
      <c r="CB61" s="26"/>
      <c r="CC61" s="26"/>
      <c r="CD61" s="26"/>
      <c r="CE61" s="26"/>
      <c r="CF61" s="26"/>
      <c r="CG61" s="26"/>
      <c r="CH61" s="26"/>
      <c r="CI61" s="26"/>
      <c r="CJ61" s="26"/>
      <c r="CK61" s="26"/>
      <c r="CL61" s="26"/>
      <c r="CM61" s="26"/>
      <c r="CN61" s="26"/>
      <c r="CO61" s="26"/>
      <c r="CP61" s="26"/>
      <c r="CQ61" s="26"/>
      <c r="CR61" s="26"/>
      <c r="CS61" s="26"/>
      <c r="CT61" s="26"/>
      <c r="CU61" s="26"/>
      <c r="CV61" s="26"/>
      <c r="CW61" s="26"/>
      <c r="CX61" s="26"/>
      <c r="CY61" s="26"/>
      <c r="CZ61" s="26"/>
      <c r="DA61" s="26"/>
      <c r="DB61" s="26"/>
      <c r="DC61" s="26"/>
      <c r="DD61" s="26"/>
    </row>
    <row r="62" spans="8:108" x14ac:dyDescent="0.2">
      <c r="H62" s="27">
        <f t="shared" si="0"/>
        <v>60</v>
      </c>
      <c r="I62">
        <v>35</v>
      </c>
      <c r="J62">
        <v>50</v>
      </c>
      <c r="K62">
        <v>25</v>
      </c>
      <c r="L62">
        <v>35</v>
      </c>
      <c r="M62">
        <v>35</v>
      </c>
      <c r="N62">
        <v>30</v>
      </c>
      <c r="O62">
        <v>80</v>
      </c>
      <c r="P62">
        <v>35</v>
      </c>
      <c r="Q62">
        <v>20</v>
      </c>
      <c r="R62">
        <v>42</v>
      </c>
      <c r="S62">
        <v>35</v>
      </c>
      <c r="T62">
        <v>60</v>
      </c>
      <c r="U62">
        <v>100</v>
      </c>
      <c r="V62">
        <v>24</v>
      </c>
      <c r="W62">
        <v>35</v>
      </c>
      <c r="X62">
        <v>24</v>
      </c>
      <c r="Y62">
        <v>35</v>
      </c>
      <c r="Z62">
        <v>42</v>
      </c>
      <c r="AA62">
        <v>200</v>
      </c>
      <c r="AB62">
        <v>35</v>
      </c>
      <c r="AC62">
        <v>35</v>
      </c>
      <c r="AD62">
        <v>70</v>
      </c>
      <c r="AE62">
        <v>20</v>
      </c>
      <c r="AF62">
        <v>80</v>
      </c>
      <c r="AG62">
        <v>120</v>
      </c>
      <c r="AH62">
        <v>120</v>
      </c>
      <c r="AI62">
        <v>20</v>
      </c>
      <c r="AJ62">
        <v>42</v>
      </c>
      <c r="AK62">
        <v>35</v>
      </c>
      <c r="AL62">
        <v>168</v>
      </c>
      <c r="AM62">
        <v>24</v>
      </c>
      <c r="AN62">
        <v>200</v>
      </c>
      <c r="AO62">
        <v>140</v>
      </c>
      <c r="AP62">
        <v>140</v>
      </c>
      <c r="AQ62">
        <v>30</v>
      </c>
      <c r="AR62">
        <v>42</v>
      </c>
      <c r="AS62">
        <v>42</v>
      </c>
      <c r="AT62">
        <v>70</v>
      </c>
      <c r="AU62">
        <v>100</v>
      </c>
      <c r="AV62">
        <v>100</v>
      </c>
      <c r="AW62">
        <v>25</v>
      </c>
      <c r="AX62">
        <v>35</v>
      </c>
      <c r="AY62">
        <v>30</v>
      </c>
      <c r="AZ62">
        <v>25</v>
      </c>
      <c r="BA62">
        <v>140</v>
      </c>
      <c r="BB62">
        <v>35</v>
      </c>
      <c r="BC62">
        <v>120</v>
      </c>
      <c r="BD62">
        <v>35</v>
      </c>
      <c r="BE62">
        <v>20</v>
      </c>
      <c r="BF62">
        <v>24</v>
      </c>
      <c r="BG62" s="26"/>
      <c r="BH62" s="26"/>
      <c r="BI62" s="26"/>
      <c r="BJ62" s="26"/>
      <c r="BK62" s="26"/>
      <c r="BL62" s="26"/>
      <c r="BM62" s="26"/>
      <c r="BN62" s="26"/>
      <c r="BO62" s="26"/>
      <c r="BP62" s="26"/>
      <c r="BQ62" s="26"/>
      <c r="BR62" s="26"/>
      <c r="BS62" s="26"/>
      <c r="BT62" s="26"/>
      <c r="BU62" s="26"/>
      <c r="BV62" s="26"/>
      <c r="BW62" s="26"/>
      <c r="BX62" s="26"/>
      <c r="BY62" s="26"/>
      <c r="BZ62" s="26"/>
      <c r="CA62" s="26"/>
      <c r="CB62" s="26"/>
      <c r="CC62" s="26"/>
      <c r="CD62" s="26"/>
      <c r="CE62" s="26"/>
      <c r="CF62" s="26"/>
      <c r="CG62" s="26"/>
      <c r="CH62" s="26"/>
      <c r="CI62" s="26"/>
      <c r="CJ62" s="26"/>
      <c r="CK62" s="26"/>
      <c r="CL62" s="26"/>
      <c r="CM62" s="26"/>
      <c r="CN62" s="26"/>
      <c r="CO62" s="26"/>
      <c r="CP62" s="26"/>
      <c r="CQ62" s="26"/>
      <c r="CR62" s="26"/>
      <c r="CS62" s="26"/>
      <c r="CT62" s="26"/>
      <c r="CU62" s="26"/>
      <c r="CV62" s="26"/>
      <c r="CW62" s="26"/>
      <c r="CX62" s="26"/>
      <c r="CY62" s="26"/>
      <c r="CZ62" s="26"/>
      <c r="DA62" s="26"/>
      <c r="DB62" s="26"/>
      <c r="DC62" s="26"/>
      <c r="DD62" s="26"/>
    </row>
    <row r="63" spans="8:108" x14ac:dyDescent="0.2">
      <c r="H63" s="27">
        <f t="shared" si="0"/>
        <v>61</v>
      </c>
      <c r="I63">
        <v>20</v>
      </c>
      <c r="J63">
        <v>24</v>
      </c>
      <c r="K63">
        <v>42</v>
      </c>
      <c r="L63">
        <v>25</v>
      </c>
      <c r="M63">
        <v>120</v>
      </c>
      <c r="N63">
        <v>70</v>
      </c>
      <c r="O63">
        <v>140</v>
      </c>
      <c r="P63">
        <v>100</v>
      </c>
      <c r="Q63">
        <v>70</v>
      </c>
      <c r="R63">
        <v>24</v>
      </c>
      <c r="S63">
        <v>70</v>
      </c>
      <c r="T63">
        <v>35</v>
      </c>
      <c r="U63">
        <v>20</v>
      </c>
      <c r="V63">
        <v>42</v>
      </c>
      <c r="W63">
        <v>120</v>
      </c>
      <c r="X63">
        <v>35</v>
      </c>
      <c r="Y63">
        <v>24</v>
      </c>
      <c r="Z63">
        <v>35</v>
      </c>
      <c r="AA63">
        <v>30</v>
      </c>
      <c r="AB63">
        <v>35</v>
      </c>
      <c r="AC63">
        <v>42</v>
      </c>
      <c r="AD63">
        <v>35</v>
      </c>
      <c r="AE63">
        <v>30</v>
      </c>
      <c r="AF63">
        <v>140</v>
      </c>
      <c r="AG63">
        <v>120</v>
      </c>
      <c r="AH63">
        <v>120</v>
      </c>
      <c r="AI63">
        <v>120</v>
      </c>
      <c r="AJ63">
        <v>20</v>
      </c>
      <c r="AK63">
        <v>168</v>
      </c>
      <c r="AL63">
        <v>35</v>
      </c>
      <c r="AM63">
        <v>120</v>
      </c>
      <c r="AN63">
        <v>140</v>
      </c>
      <c r="AO63">
        <v>42</v>
      </c>
      <c r="AP63">
        <v>20</v>
      </c>
      <c r="AQ63">
        <v>168</v>
      </c>
      <c r="AR63">
        <v>35</v>
      </c>
      <c r="AS63">
        <v>25</v>
      </c>
      <c r="AT63">
        <v>80</v>
      </c>
      <c r="AU63">
        <v>72</v>
      </c>
      <c r="AV63">
        <v>100</v>
      </c>
      <c r="AW63">
        <v>35</v>
      </c>
      <c r="AX63">
        <v>200</v>
      </c>
      <c r="AY63">
        <v>42</v>
      </c>
      <c r="AZ63">
        <v>70</v>
      </c>
      <c r="BA63">
        <v>42</v>
      </c>
      <c r="BB63">
        <v>30</v>
      </c>
      <c r="BC63">
        <v>140</v>
      </c>
      <c r="BD63">
        <v>200</v>
      </c>
      <c r="BE63">
        <v>120</v>
      </c>
      <c r="BF63">
        <v>168</v>
      </c>
      <c r="BG63" s="26"/>
      <c r="BH63" s="26"/>
      <c r="BI63" s="26"/>
      <c r="BJ63" s="26"/>
      <c r="BK63" s="26"/>
      <c r="BL63" s="26"/>
      <c r="BM63" s="26"/>
      <c r="BN63" s="26"/>
      <c r="BO63" s="26"/>
      <c r="BP63" s="26"/>
      <c r="BQ63" s="26"/>
      <c r="BR63" s="26"/>
      <c r="BS63" s="26"/>
      <c r="BT63" s="26"/>
      <c r="BU63" s="26"/>
      <c r="BV63" s="26"/>
      <c r="BW63" s="26"/>
      <c r="BX63" s="26"/>
      <c r="BY63" s="26"/>
      <c r="BZ63" s="26"/>
      <c r="CA63" s="26"/>
      <c r="CB63" s="26"/>
      <c r="CC63" s="26"/>
      <c r="CD63" s="26"/>
      <c r="CE63" s="26"/>
      <c r="CF63" s="26"/>
      <c r="CG63" s="26"/>
      <c r="CH63" s="26"/>
      <c r="CI63" s="26"/>
      <c r="CJ63" s="26"/>
      <c r="CK63" s="26"/>
      <c r="CL63" s="26"/>
      <c r="CM63" s="26"/>
      <c r="CN63" s="26"/>
      <c r="CO63" s="26"/>
      <c r="CP63" s="26"/>
      <c r="CQ63" s="26"/>
      <c r="CR63" s="26"/>
      <c r="CS63" s="26"/>
      <c r="CT63" s="26"/>
      <c r="CU63" s="26"/>
      <c r="CV63" s="26"/>
      <c r="CW63" s="26"/>
      <c r="CX63" s="26"/>
      <c r="CY63" s="26"/>
      <c r="CZ63" s="26"/>
      <c r="DA63" s="26"/>
      <c r="DB63" s="26"/>
      <c r="DC63" s="26"/>
      <c r="DD63" s="26"/>
    </row>
    <row r="64" spans="8:108" x14ac:dyDescent="0.2">
      <c r="H64" s="27">
        <f t="shared" si="0"/>
        <v>62</v>
      </c>
      <c r="I64">
        <v>24</v>
      </c>
      <c r="J64">
        <v>35</v>
      </c>
      <c r="K64">
        <v>42</v>
      </c>
      <c r="L64">
        <v>140</v>
      </c>
      <c r="M64">
        <v>42</v>
      </c>
      <c r="N64">
        <v>6</v>
      </c>
      <c r="O64">
        <v>80</v>
      </c>
      <c r="P64">
        <v>25</v>
      </c>
      <c r="Q64">
        <v>100</v>
      </c>
      <c r="R64">
        <v>35</v>
      </c>
      <c r="S64">
        <v>25</v>
      </c>
      <c r="T64">
        <v>5</v>
      </c>
      <c r="U64">
        <v>25</v>
      </c>
      <c r="V64">
        <v>30</v>
      </c>
      <c r="W64">
        <v>140</v>
      </c>
      <c r="X64">
        <v>25</v>
      </c>
      <c r="Y64">
        <v>120</v>
      </c>
      <c r="Z64">
        <v>100</v>
      </c>
      <c r="AA64">
        <v>120</v>
      </c>
      <c r="AB64">
        <v>100</v>
      </c>
      <c r="AC64">
        <v>140</v>
      </c>
      <c r="AD64">
        <v>35</v>
      </c>
      <c r="AE64">
        <v>20</v>
      </c>
      <c r="AF64">
        <v>140</v>
      </c>
      <c r="AG64">
        <v>24</v>
      </c>
      <c r="AH64">
        <v>20</v>
      </c>
      <c r="AI64">
        <v>25</v>
      </c>
      <c r="AJ64">
        <v>5</v>
      </c>
      <c r="AK64">
        <v>42</v>
      </c>
      <c r="AL64">
        <v>35</v>
      </c>
      <c r="AM64">
        <v>35</v>
      </c>
      <c r="AN64">
        <v>20</v>
      </c>
      <c r="AO64">
        <v>20</v>
      </c>
      <c r="AP64">
        <v>35</v>
      </c>
      <c r="AQ64">
        <v>42</v>
      </c>
      <c r="AR64">
        <v>80</v>
      </c>
      <c r="AS64">
        <v>42</v>
      </c>
      <c r="AT64">
        <v>100</v>
      </c>
      <c r="AU64">
        <v>20</v>
      </c>
      <c r="AV64">
        <v>35</v>
      </c>
      <c r="AW64">
        <v>84</v>
      </c>
      <c r="AX64">
        <v>42</v>
      </c>
      <c r="AY64">
        <v>100</v>
      </c>
      <c r="AZ64">
        <v>20</v>
      </c>
      <c r="BA64">
        <v>200</v>
      </c>
      <c r="BB64">
        <v>70</v>
      </c>
      <c r="BC64">
        <v>42</v>
      </c>
      <c r="BD64">
        <v>168</v>
      </c>
      <c r="BE64">
        <v>100</v>
      </c>
      <c r="BF64">
        <v>35</v>
      </c>
      <c r="BG64" s="26"/>
      <c r="BH64" s="26"/>
      <c r="BI64" s="26"/>
      <c r="BJ64" s="26"/>
      <c r="BK64" s="26"/>
      <c r="BL64" s="26"/>
      <c r="BM64" s="26"/>
      <c r="BN64" s="26"/>
      <c r="BO64" s="26"/>
      <c r="BP64" s="26"/>
      <c r="BQ64" s="26"/>
      <c r="BR64" s="26"/>
      <c r="BS64" s="26"/>
      <c r="BT64" s="26"/>
      <c r="BU64" s="26"/>
      <c r="BV64" s="26"/>
      <c r="BW64" s="26"/>
      <c r="BX64" s="26"/>
      <c r="BY64" s="26"/>
      <c r="BZ64" s="26"/>
      <c r="CA64" s="26"/>
      <c r="CB64" s="26"/>
      <c r="CC64" s="26"/>
      <c r="CD64" s="26"/>
      <c r="CE64" s="26"/>
      <c r="CF64" s="26"/>
      <c r="CG64" s="26"/>
      <c r="CH64" s="26"/>
      <c r="CI64" s="26"/>
      <c r="CJ64" s="26"/>
      <c r="CK64" s="26"/>
      <c r="CL64" s="26"/>
      <c r="CM64" s="26"/>
      <c r="CN64" s="26"/>
      <c r="CO64" s="26"/>
      <c r="CP64" s="26"/>
      <c r="CQ64" s="26"/>
      <c r="CR64" s="26"/>
      <c r="CS64" s="26"/>
      <c r="CT64" s="26"/>
      <c r="CU64" s="26"/>
      <c r="CV64" s="26"/>
      <c r="CW64" s="26"/>
      <c r="CX64" s="26"/>
      <c r="CY64" s="26"/>
      <c r="CZ64" s="26"/>
      <c r="DA64" s="26"/>
      <c r="DB64" s="26"/>
      <c r="DC64" s="26"/>
      <c r="DD64" s="26"/>
    </row>
    <row r="65" spans="8:108" x14ac:dyDescent="0.2">
      <c r="H65" s="27">
        <f t="shared" si="0"/>
        <v>63</v>
      </c>
      <c r="I65">
        <v>25</v>
      </c>
      <c r="J65">
        <v>20</v>
      </c>
      <c r="K65">
        <v>80</v>
      </c>
      <c r="L65">
        <v>140</v>
      </c>
      <c r="M65">
        <v>20</v>
      </c>
      <c r="N65">
        <v>42</v>
      </c>
      <c r="O65">
        <v>200</v>
      </c>
      <c r="P65">
        <v>140</v>
      </c>
      <c r="Q65">
        <v>35</v>
      </c>
      <c r="R65">
        <v>70</v>
      </c>
      <c r="S65">
        <v>42</v>
      </c>
      <c r="T65">
        <v>20</v>
      </c>
      <c r="U65">
        <v>42</v>
      </c>
      <c r="V65">
        <v>120</v>
      </c>
      <c r="W65">
        <v>35</v>
      </c>
      <c r="X65">
        <v>100</v>
      </c>
      <c r="Y65">
        <v>42</v>
      </c>
      <c r="Z65">
        <v>42</v>
      </c>
      <c r="AA65">
        <v>42</v>
      </c>
      <c r="AB65">
        <v>20</v>
      </c>
      <c r="AC65">
        <v>35</v>
      </c>
      <c r="AD65">
        <v>42</v>
      </c>
      <c r="AE65">
        <v>35</v>
      </c>
      <c r="AF65">
        <v>35</v>
      </c>
      <c r="AG65">
        <v>96</v>
      </c>
      <c r="AH65">
        <v>20</v>
      </c>
      <c r="AI65">
        <v>80</v>
      </c>
      <c r="AJ65">
        <v>70</v>
      </c>
      <c r="AK65">
        <v>200</v>
      </c>
      <c r="AL65">
        <v>20</v>
      </c>
      <c r="AM65">
        <v>20</v>
      </c>
      <c r="AN65">
        <v>30</v>
      </c>
      <c r="AO65">
        <v>30</v>
      </c>
      <c r="AP65">
        <v>120</v>
      </c>
      <c r="AQ65">
        <v>24</v>
      </c>
      <c r="AR65">
        <v>84</v>
      </c>
      <c r="AS65">
        <v>100</v>
      </c>
      <c r="AT65">
        <v>100</v>
      </c>
      <c r="AU65">
        <v>96</v>
      </c>
      <c r="AV65">
        <v>140</v>
      </c>
      <c r="AW65">
        <v>35</v>
      </c>
      <c r="AX65">
        <v>100</v>
      </c>
      <c r="AY65">
        <v>42</v>
      </c>
      <c r="AZ65">
        <v>24</v>
      </c>
      <c r="BA65">
        <v>35</v>
      </c>
      <c r="BB65">
        <v>35</v>
      </c>
      <c r="BC65">
        <v>35</v>
      </c>
      <c r="BD65">
        <v>80</v>
      </c>
      <c r="BE65">
        <v>168</v>
      </c>
      <c r="BF65">
        <v>60</v>
      </c>
      <c r="BG65" s="26"/>
      <c r="BH65" s="26"/>
      <c r="BI65" s="26"/>
      <c r="BJ65" s="26"/>
      <c r="BK65" s="26"/>
      <c r="BL65" s="26"/>
      <c r="BM65" s="26"/>
      <c r="BN65" s="26"/>
      <c r="BO65" s="26"/>
      <c r="BP65" s="26"/>
      <c r="BQ65" s="26"/>
      <c r="BR65" s="26"/>
      <c r="BS65" s="26"/>
      <c r="BT65" s="26"/>
      <c r="BU65" s="26"/>
      <c r="BV65" s="26"/>
      <c r="BW65" s="26"/>
      <c r="BX65" s="26"/>
      <c r="BY65" s="26"/>
      <c r="BZ65" s="26"/>
      <c r="CA65" s="26"/>
      <c r="CB65" s="26"/>
      <c r="CC65" s="26"/>
      <c r="CD65" s="26"/>
      <c r="CE65" s="26"/>
      <c r="CF65" s="26"/>
      <c r="CG65" s="26"/>
      <c r="CH65" s="26"/>
      <c r="CI65" s="26"/>
      <c r="CJ65" s="26"/>
      <c r="CK65" s="26"/>
      <c r="CL65" s="26"/>
      <c r="CM65" s="26"/>
      <c r="CN65" s="26"/>
      <c r="CO65" s="26"/>
      <c r="CP65" s="26"/>
      <c r="CQ65" s="26"/>
      <c r="CR65" s="26"/>
      <c r="CS65" s="26"/>
      <c r="CT65" s="26"/>
      <c r="CU65" s="26"/>
      <c r="CV65" s="26"/>
      <c r="CW65" s="26"/>
      <c r="CX65" s="26"/>
      <c r="CY65" s="26"/>
      <c r="CZ65" s="26"/>
      <c r="DA65" s="26"/>
      <c r="DB65" s="26"/>
      <c r="DC65" s="26"/>
      <c r="DD65" s="26"/>
    </row>
    <row r="66" spans="8:108" x14ac:dyDescent="0.2">
      <c r="H66" s="27">
        <f t="shared" si="0"/>
        <v>64</v>
      </c>
      <c r="I66">
        <v>25</v>
      </c>
      <c r="J66">
        <v>42</v>
      </c>
      <c r="K66">
        <v>120</v>
      </c>
      <c r="L66">
        <v>20</v>
      </c>
      <c r="M66">
        <v>20</v>
      </c>
      <c r="N66">
        <v>42</v>
      </c>
      <c r="O66">
        <v>84</v>
      </c>
      <c r="P66">
        <v>60</v>
      </c>
      <c r="Q66">
        <v>120</v>
      </c>
      <c r="R66">
        <v>140</v>
      </c>
      <c r="S66">
        <v>42</v>
      </c>
      <c r="T66">
        <v>140</v>
      </c>
      <c r="U66">
        <v>100</v>
      </c>
      <c r="V66">
        <v>5</v>
      </c>
      <c r="W66">
        <v>20</v>
      </c>
      <c r="X66">
        <v>20</v>
      </c>
      <c r="Y66">
        <v>120</v>
      </c>
      <c r="Z66">
        <v>140</v>
      </c>
      <c r="AA66">
        <v>30</v>
      </c>
      <c r="AB66">
        <v>100</v>
      </c>
      <c r="AC66">
        <v>25</v>
      </c>
      <c r="AD66">
        <v>35</v>
      </c>
      <c r="AE66">
        <v>35</v>
      </c>
      <c r="AF66">
        <v>42</v>
      </c>
      <c r="AG66">
        <v>24</v>
      </c>
      <c r="AH66">
        <v>35</v>
      </c>
      <c r="AI66">
        <v>42</v>
      </c>
      <c r="AJ66">
        <v>100</v>
      </c>
      <c r="AK66">
        <v>140</v>
      </c>
      <c r="AL66">
        <v>200</v>
      </c>
      <c r="AM66">
        <v>35</v>
      </c>
      <c r="AN66">
        <v>30</v>
      </c>
      <c r="AO66">
        <v>20</v>
      </c>
      <c r="AP66">
        <v>168</v>
      </c>
      <c r="AQ66">
        <v>140</v>
      </c>
      <c r="AR66">
        <v>25</v>
      </c>
      <c r="AS66">
        <v>80</v>
      </c>
      <c r="AT66">
        <v>20</v>
      </c>
      <c r="AU66">
        <v>100</v>
      </c>
      <c r="AV66">
        <v>35</v>
      </c>
      <c r="AW66">
        <v>20</v>
      </c>
      <c r="AX66">
        <v>100</v>
      </c>
      <c r="AY66">
        <v>60</v>
      </c>
      <c r="AZ66">
        <v>20</v>
      </c>
      <c r="BA66">
        <v>96</v>
      </c>
      <c r="BB66">
        <v>20</v>
      </c>
      <c r="BC66">
        <v>70</v>
      </c>
      <c r="BD66">
        <v>35</v>
      </c>
      <c r="BE66">
        <v>20</v>
      </c>
      <c r="BF66">
        <v>35</v>
      </c>
      <c r="BG66" s="26"/>
      <c r="BH66" s="26"/>
      <c r="BI66" s="26"/>
      <c r="BJ66" s="26"/>
      <c r="BK66" s="26"/>
      <c r="BL66" s="26"/>
      <c r="BM66" s="26"/>
      <c r="BN66" s="26"/>
      <c r="BO66" s="26"/>
      <c r="BP66" s="26"/>
      <c r="BQ66" s="26"/>
      <c r="BR66" s="26"/>
      <c r="BS66" s="26"/>
      <c r="BT66" s="26"/>
      <c r="BU66" s="26"/>
      <c r="BV66" s="26"/>
      <c r="BW66" s="26"/>
      <c r="BX66" s="26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K66" s="26"/>
      <c r="CL66" s="26"/>
      <c r="CM66" s="26"/>
      <c r="CN66" s="26"/>
      <c r="CO66" s="26"/>
      <c r="CP66" s="26"/>
      <c r="CQ66" s="26"/>
      <c r="CR66" s="26"/>
      <c r="CS66" s="26"/>
      <c r="CT66" s="26"/>
      <c r="CU66" s="26"/>
      <c r="CV66" s="26"/>
      <c r="CW66" s="26"/>
      <c r="CX66" s="26"/>
      <c r="CY66" s="26"/>
      <c r="CZ66" s="26"/>
      <c r="DA66" s="26"/>
      <c r="DB66" s="26"/>
      <c r="DC66" s="26"/>
      <c r="DD66" s="26"/>
    </row>
    <row r="67" spans="8:108" x14ac:dyDescent="0.2">
      <c r="H67" s="27">
        <f t="shared" si="0"/>
        <v>65</v>
      </c>
      <c r="I67">
        <v>100</v>
      </c>
      <c r="J67">
        <v>140</v>
      </c>
      <c r="K67">
        <v>42</v>
      </c>
      <c r="L67">
        <v>35</v>
      </c>
      <c r="M67">
        <v>200</v>
      </c>
      <c r="N67">
        <v>24</v>
      </c>
      <c r="O67">
        <v>140</v>
      </c>
      <c r="P67">
        <v>35</v>
      </c>
      <c r="Q67">
        <v>70</v>
      </c>
      <c r="R67">
        <v>96</v>
      </c>
      <c r="S67">
        <v>35</v>
      </c>
      <c r="T67">
        <v>35</v>
      </c>
      <c r="U67">
        <v>20</v>
      </c>
      <c r="V67">
        <v>20</v>
      </c>
      <c r="W67">
        <v>20</v>
      </c>
      <c r="X67">
        <v>200</v>
      </c>
      <c r="Y67">
        <v>100</v>
      </c>
      <c r="Z67">
        <v>42</v>
      </c>
      <c r="AA67">
        <v>70</v>
      </c>
      <c r="AB67">
        <v>100</v>
      </c>
      <c r="AC67">
        <v>20</v>
      </c>
      <c r="AD67">
        <v>30</v>
      </c>
      <c r="AE67">
        <v>42</v>
      </c>
      <c r="AF67">
        <v>42</v>
      </c>
      <c r="AG67">
        <v>84</v>
      </c>
      <c r="AH67">
        <v>20</v>
      </c>
      <c r="AI67">
        <v>96</v>
      </c>
      <c r="AJ67">
        <v>80</v>
      </c>
      <c r="AK67">
        <v>60</v>
      </c>
      <c r="AL67">
        <v>20</v>
      </c>
      <c r="AM67">
        <v>25</v>
      </c>
      <c r="AN67">
        <v>20</v>
      </c>
      <c r="AO67">
        <v>42</v>
      </c>
      <c r="AP67">
        <v>80</v>
      </c>
      <c r="AQ67">
        <v>140</v>
      </c>
      <c r="AR67">
        <v>240</v>
      </c>
      <c r="AS67">
        <v>24</v>
      </c>
      <c r="AT67">
        <v>42</v>
      </c>
      <c r="AU67">
        <v>35</v>
      </c>
      <c r="AV67">
        <v>35</v>
      </c>
      <c r="AW67">
        <v>25</v>
      </c>
      <c r="AX67">
        <v>35</v>
      </c>
      <c r="AY67">
        <v>120</v>
      </c>
      <c r="AZ67">
        <v>42</v>
      </c>
      <c r="BA67">
        <v>100</v>
      </c>
      <c r="BB67">
        <v>96</v>
      </c>
      <c r="BC67">
        <v>24</v>
      </c>
      <c r="BD67">
        <v>20</v>
      </c>
      <c r="BE67">
        <v>120</v>
      </c>
      <c r="BF67">
        <v>70</v>
      </c>
      <c r="BG67" s="26"/>
      <c r="BH67" s="26"/>
      <c r="BI67" s="26"/>
      <c r="BJ67" s="26"/>
      <c r="BK67" s="26"/>
      <c r="BL67" s="26"/>
      <c r="BM67" s="26"/>
      <c r="BN67" s="26"/>
      <c r="BO67" s="26"/>
      <c r="BP67" s="26"/>
      <c r="BQ67" s="26"/>
      <c r="BR67" s="26"/>
      <c r="BS67" s="26"/>
      <c r="BT67" s="26"/>
      <c r="BU67" s="26"/>
      <c r="BV67" s="26"/>
      <c r="BW67" s="26"/>
      <c r="BX67" s="26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K67" s="26"/>
      <c r="CL67" s="26"/>
      <c r="CM67" s="26"/>
      <c r="CN67" s="26"/>
      <c r="CO67" s="26"/>
      <c r="CP67" s="26"/>
      <c r="CQ67" s="26"/>
      <c r="CR67" s="26"/>
      <c r="CS67" s="26"/>
      <c r="CT67" s="26"/>
      <c r="CU67" s="26"/>
      <c r="CV67" s="26"/>
      <c r="CW67" s="26"/>
      <c r="CX67" s="26"/>
      <c r="CY67" s="26"/>
      <c r="CZ67" s="26"/>
      <c r="DA67" s="26"/>
      <c r="DB67" s="26"/>
      <c r="DC67" s="26"/>
      <c r="DD67" s="26"/>
    </row>
    <row r="68" spans="8:108" x14ac:dyDescent="0.2">
      <c r="H68" s="27">
        <f t="shared" si="0"/>
        <v>66</v>
      </c>
      <c r="I68">
        <v>120</v>
      </c>
      <c r="J68">
        <v>70</v>
      </c>
      <c r="K68">
        <v>35</v>
      </c>
      <c r="L68">
        <v>35</v>
      </c>
      <c r="M68">
        <v>96</v>
      </c>
      <c r="N68">
        <v>35</v>
      </c>
      <c r="O68">
        <v>80</v>
      </c>
      <c r="P68">
        <v>20</v>
      </c>
      <c r="Q68">
        <v>24</v>
      </c>
      <c r="R68">
        <v>35</v>
      </c>
      <c r="S68">
        <v>100</v>
      </c>
      <c r="T68">
        <v>140</v>
      </c>
      <c r="U68">
        <v>60</v>
      </c>
      <c r="V68">
        <v>42</v>
      </c>
      <c r="W68">
        <v>35</v>
      </c>
      <c r="X68">
        <v>35</v>
      </c>
      <c r="Y68">
        <v>120</v>
      </c>
      <c r="Z68">
        <v>35</v>
      </c>
      <c r="AA68">
        <v>35</v>
      </c>
      <c r="AB68">
        <v>25</v>
      </c>
      <c r="AC68">
        <v>30</v>
      </c>
      <c r="AD68">
        <v>35</v>
      </c>
      <c r="AE68">
        <v>100</v>
      </c>
      <c r="AF68">
        <v>20</v>
      </c>
      <c r="AG68">
        <v>42</v>
      </c>
      <c r="AH68">
        <v>42</v>
      </c>
      <c r="AI68">
        <v>42</v>
      </c>
      <c r="AJ68">
        <v>42</v>
      </c>
      <c r="AK68">
        <v>35</v>
      </c>
      <c r="AL68">
        <v>168</v>
      </c>
      <c r="AM68">
        <v>24</v>
      </c>
      <c r="AN68">
        <v>42</v>
      </c>
      <c r="AO68">
        <v>84</v>
      </c>
      <c r="AP68">
        <v>100</v>
      </c>
      <c r="AQ68">
        <v>120</v>
      </c>
      <c r="AR68">
        <v>35</v>
      </c>
      <c r="AS68">
        <v>120</v>
      </c>
      <c r="AT68">
        <v>100</v>
      </c>
      <c r="AU68">
        <v>42</v>
      </c>
      <c r="AV68">
        <v>42</v>
      </c>
      <c r="AW68">
        <v>30</v>
      </c>
      <c r="AX68">
        <v>50</v>
      </c>
      <c r="AY68">
        <v>20</v>
      </c>
      <c r="AZ68">
        <v>60</v>
      </c>
      <c r="BA68">
        <v>70</v>
      </c>
      <c r="BB68">
        <v>70</v>
      </c>
      <c r="BC68">
        <v>20</v>
      </c>
      <c r="BD68">
        <v>25</v>
      </c>
      <c r="BE68">
        <v>80</v>
      </c>
      <c r="BF68">
        <v>42</v>
      </c>
      <c r="BG68" s="26"/>
      <c r="BH68" s="26"/>
      <c r="BI68" s="26"/>
      <c r="BJ68" s="26"/>
      <c r="BK68" s="26"/>
      <c r="BL68" s="26"/>
      <c r="BM68" s="26"/>
      <c r="BN68" s="26"/>
      <c r="BO68" s="26"/>
      <c r="BP68" s="26"/>
      <c r="BQ68" s="26"/>
      <c r="BR68" s="26"/>
      <c r="BS68" s="26"/>
      <c r="BT68" s="26"/>
      <c r="BU68" s="26"/>
      <c r="BV68" s="26"/>
      <c r="BW68" s="26"/>
      <c r="BX68" s="26"/>
      <c r="BY68" s="26"/>
      <c r="BZ68" s="26"/>
      <c r="CA68" s="26"/>
      <c r="CB68" s="26"/>
      <c r="CC68" s="26"/>
      <c r="CD68" s="26"/>
      <c r="CE68" s="26"/>
      <c r="CF68" s="26"/>
      <c r="CG68" s="26"/>
      <c r="CH68" s="26"/>
      <c r="CI68" s="26"/>
      <c r="CJ68" s="26"/>
      <c r="CK68" s="26"/>
      <c r="CL68" s="26"/>
      <c r="CM68" s="26"/>
      <c r="CN68" s="26"/>
      <c r="CO68" s="26"/>
      <c r="CP68" s="26"/>
      <c r="CQ68" s="26"/>
      <c r="CR68" s="26"/>
      <c r="CS68" s="26"/>
      <c r="CT68" s="26"/>
      <c r="CU68" s="26"/>
      <c r="CV68" s="26"/>
      <c r="CW68" s="26"/>
      <c r="CX68" s="26"/>
      <c r="CY68" s="26"/>
      <c r="CZ68" s="26"/>
      <c r="DA68" s="26"/>
      <c r="DB68" s="26"/>
      <c r="DC68" s="26"/>
      <c r="DD68" s="26"/>
    </row>
    <row r="69" spans="8:108" x14ac:dyDescent="0.2">
      <c r="H69" s="27">
        <f t="shared" si="0"/>
        <v>67</v>
      </c>
      <c r="I69">
        <v>20</v>
      </c>
      <c r="J69">
        <v>42</v>
      </c>
      <c r="K69">
        <v>70</v>
      </c>
      <c r="L69">
        <v>168</v>
      </c>
      <c r="M69">
        <v>42</v>
      </c>
      <c r="N69">
        <v>84</v>
      </c>
      <c r="O69">
        <v>96</v>
      </c>
      <c r="P69">
        <v>24</v>
      </c>
      <c r="Q69">
        <v>42</v>
      </c>
      <c r="R69">
        <v>168</v>
      </c>
      <c r="S69">
        <v>42</v>
      </c>
      <c r="T69">
        <v>35</v>
      </c>
      <c r="U69">
        <v>35</v>
      </c>
      <c r="V69">
        <v>100</v>
      </c>
      <c r="W69">
        <v>20</v>
      </c>
      <c r="X69">
        <v>25</v>
      </c>
      <c r="Y69">
        <v>20</v>
      </c>
      <c r="Z69">
        <v>120</v>
      </c>
      <c r="AA69">
        <v>25</v>
      </c>
      <c r="AB69">
        <v>42</v>
      </c>
      <c r="AC69">
        <v>25</v>
      </c>
      <c r="AD69">
        <v>35</v>
      </c>
      <c r="AE69">
        <v>5</v>
      </c>
      <c r="AF69">
        <v>25</v>
      </c>
      <c r="AG69">
        <v>35</v>
      </c>
      <c r="AH69">
        <v>42</v>
      </c>
      <c r="AI69">
        <v>20</v>
      </c>
      <c r="AJ69">
        <v>24</v>
      </c>
      <c r="AK69">
        <v>42</v>
      </c>
      <c r="AL69">
        <v>25</v>
      </c>
      <c r="AM69">
        <v>70</v>
      </c>
      <c r="AN69">
        <v>80</v>
      </c>
      <c r="AO69">
        <v>140</v>
      </c>
      <c r="AP69">
        <v>20</v>
      </c>
      <c r="AQ69">
        <v>100</v>
      </c>
      <c r="AR69">
        <v>24</v>
      </c>
      <c r="AS69">
        <v>96</v>
      </c>
      <c r="AT69">
        <v>35</v>
      </c>
      <c r="AU69">
        <v>42</v>
      </c>
      <c r="AV69">
        <v>100</v>
      </c>
      <c r="AW69">
        <v>96</v>
      </c>
      <c r="AX69">
        <v>140</v>
      </c>
      <c r="AY69">
        <v>35</v>
      </c>
      <c r="AZ69">
        <v>70</v>
      </c>
      <c r="BA69">
        <v>35</v>
      </c>
      <c r="BB69">
        <v>30</v>
      </c>
      <c r="BC69">
        <v>20</v>
      </c>
      <c r="BD69">
        <v>25</v>
      </c>
      <c r="BE69">
        <v>42</v>
      </c>
      <c r="BF69">
        <v>35</v>
      </c>
      <c r="BG69" s="26"/>
      <c r="BH69" s="26"/>
      <c r="BI69" s="26"/>
      <c r="BJ69" s="26"/>
      <c r="BK69" s="26"/>
      <c r="BL69" s="26"/>
      <c r="BM69" s="26"/>
      <c r="BN69" s="26"/>
      <c r="BO69" s="26"/>
      <c r="BP69" s="26"/>
      <c r="BQ69" s="26"/>
      <c r="BR69" s="26"/>
      <c r="BS69" s="26"/>
      <c r="BT69" s="26"/>
      <c r="BU69" s="26"/>
      <c r="BV69" s="26"/>
      <c r="BW69" s="26"/>
      <c r="BX69" s="26"/>
      <c r="BY69" s="26"/>
      <c r="BZ69" s="26"/>
      <c r="CA69" s="26"/>
      <c r="CB69" s="26"/>
      <c r="CC69" s="26"/>
      <c r="CD69" s="26"/>
      <c r="CE69" s="26"/>
      <c r="CF69" s="26"/>
      <c r="CG69" s="26"/>
      <c r="CH69" s="26"/>
      <c r="CI69" s="26"/>
      <c r="CJ69" s="26"/>
      <c r="CK69" s="26"/>
      <c r="CL69" s="26"/>
      <c r="CM69" s="26"/>
      <c r="CN69" s="26"/>
      <c r="CO69" s="26"/>
      <c r="CP69" s="26"/>
      <c r="CQ69" s="26"/>
      <c r="CR69" s="26"/>
      <c r="CS69" s="26"/>
      <c r="CT69" s="26"/>
      <c r="CU69" s="26"/>
      <c r="CV69" s="26"/>
      <c r="CW69" s="26"/>
      <c r="CX69" s="26"/>
      <c r="CY69" s="26"/>
      <c r="CZ69" s="26"/>
      <c r="DA69" s="26"/>
      <c r="DB69" s="26"/>
      <c r="DC69" s="26"/>
      <c r="DD69" s="26"/>
    </row>
    <row r="70" spans="8:108" x14ac:dyDescent="0.2">
      <c r="H70" s="27">
        <f t="shared" si="0"/>
        <v>68</v>
      </c>
      <c r="I70">
        <v>35</v>
      </c>
      <c r="J70">
        <v>25</v>
      </c>
      <c r="K70">
        <v>24</v>
      </c>
      <c r="L70">
        <v>20</v>
      </c>
      <c r="M70">
        <v>100</v>
      </c>
      <c r="N70">
        <v>35</v>
      </c>
      <c r="O70">
        <v>140</v>
      </c>
      <c r="P70">
        <v>30</v>
      </c>
      <c r="Q70">
        <v>96</v>
      </c>
      <c r="R70">
        <v>35</v>
      </c>
      <c r="S70">
        <v>5</v>
      </c>
      <c r="T70">
        <v>20</v>
      </c>
      <c r="U70">
        <v>50</v>
      </c>
      <c r="V70">
        <v>25</v>
      </c>
      <c r="W70">
        <v>42</v>
      </c>
      <c r="X70">
        <v>42</v>
      </c>
      <c r="Y70">
        <v>42</v>
      </c>
      <c r="Z70">
        <v>70</v>
      </c>
      <c r="AA70">
        <v>120</v>
      </c>
      <c r="AB70">
        <v>35</v>
      </c>
      <c r="AC70">
        <v>25</v>
      </c>
      <c r="AD70">
        <v>24</v>
      </c>
      <c r="AE70">
        <v>50</v>
      </c>
      <c r="AF70">
        <v>120</v>
      </c>
      <c r="AG70">
        <v>20</v>
      </c>
      <c r="AH70">
        <v>24</v>
      </c>
      <c r="AI70">
        <v>35</v>
      </c>
      <c r="AJ70">
        <v>42</v>
      </c>
      <c r="AK70">
        <v>42</v>
      </c>
      <c r="AL70">
        <v>25</v>
      </c>
      <c r="AM70">
        <v>72</v>
      </c>
      <c r="AN70">
        <v>25</v>
      </c>
      <c r="AO70">
        <v>200</v>
      </c>
      <c r="AP70">
        <v>96</v>
      </c>
      <c r="AQ70">
        <v>100</v>
      </c>
      <c r="AR70">
        <v>120</v>
      </c>
      <c r="AS70">
        <v>24</v>
      </c>
      <c r="AT70">
        <v>120</v>
      </c>
      <c r="AU70">
        <v>25</v>
      </c>
      <c r="AV70">
        <v>80</v>
      </c>
      <c r="AW70">
        <v>42</v>
      </c>
      <c r="AX70">
        <v>100</v>
      </c>
      <c r="AY70">
        <v>35</v>
      </c>
      <c r="AZ70">
        <v>100</v>
      </c>
      <c r="BA70">
        <v>80</v>
      </c>
      <c r="BB70">
        <v>25</v>
      </c>
      <c r="BC70">
        <v>96</v>
      </c>
      <c r="BD70">
        <v>24</v>
      </c>
      <c r="BE70">
        <v>100</v>
      </c>
      <c r="BF70">
        <v>20</v>
      </c>
      <c r="BG70" s="26"/>
      <c r="BH70" s="26"/>
      <c r="BI70" s="26"/>
      <c r="BJ70" s="26"/>
      <c r="BK70" s="26"/>
      <c r="BL70" s="26"/>
      <c r="BM70" s="26"/>
      <c r="BN70" s="26"/>
      <c r="BO70" s="26"/>
      <c r="BP70" s="26"/>
      <c r="BQ70" s="26"/>
      <c r="BR70" s="26"/>
      <c r="BS70" s="26"/>
      <c r="BT70" s="26"/>
      <c r="BU70" s="26"/>
      <c r="BV70" s="26"/>
      <c r="BW70" s="26"/>
      <c r="BX70" s="26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K70" s="26"/>
      <c r="CL70" s="26"/>
      <c r="CM70" s="26"/>
      <c r="CN70" s="26"/>
      <c r="CO70" s="26"/>
      <c r="CP70" s="26"/>
      <c r="CQ70" s="26"/>
      <c r="CR70" s="26"/>
      <c r="CS70" s="26"/>
      <c r="CT70" s="26"/>
      <c r="CU70" s="26"/>
      <c r="CV70" s="26"/>
      <c r="CW70" s="26"/>
      <c r="CX70" s="26"/>
      <c r="CY70" s="26"/>
      <c r="CZ70" s="26"/>
      <c r="DA70" s="26"/>
      <c r="DB70" s="26"/>
      <c r="DC70" s="26"/>
      <c r="DD70" s="26"/>
    </row>
    <row r="71" spans="8:108" x14ac:dyDescent="0.2">
      <c r="H71" s="27">
        <f t="shared" si="0"/>
        <v>69</v>
      </c>
      <c r="I71">
        <v>35</v>
      </c>
      <c r="J71">
        <v>35</v>
      </c>
      <c r="K71">
        <v>120</v>
      </c>
      <c r="L71">
        <v>120</v>
      </c>
      <c r="M71">
        <v>42</v>
      </c>
      <c r="N71">
        <v>20</v>
      </c>
      <c r="O71">
        <v>25</v>
      </c>
      <c r="P71">
        <v>24</v>
      </c>
      <c r="Q71">
        <v>120</v>
      </c>
      <c r="R71">
        <v>200</v>
      </c>
      <c r="S71">
        <v>100</v>
      </c>
      <c r="T71">
        <v>20</v>
      </c>
      <c r="U71">
        <v>25</v>
      </c>
      <c r="V71">
        <v>240</v>
      </c>
      <c r="W71">
        <v>35</v>
      </c>
      <c r="X71">
        <v>35</v>
      </c>
      <c r="Y71">
        <v>20</v>
      </c>
      <c r="Z71">
        <v>120</v>
      </c>
      <c r="AA71">
        <v>140</v>
      </c>
      <c r="AB71">
        <v>20</v>
      </c>
      <c r="AC71">
        <v>35</v>
      </c>
      <c r="AD71">
        <v>25</v>
      </c>
      <c r="AE71">
        <v>168</v>
      </c>
      <c r="AF71">
        <v>84</v>
      </c>
      <c r="AG71">
        <v>42</v>
      </c>
      <c r="AH71">
        <v>35</v>
      </c>
      <c r="AI71">
        <v>42</v>
      </c>
      <c r="AJ71">
        <v>20</v>
      </c>
      <c r="AK71">
        <v>84</v>
      </c>
      <c r="AL71">
        <v>42</v>
      </c>
      <c r="AM71">
        <v>80</v>
      </c>
      <c r="AN71">
        <v>24</v>
      </c>
      <c r="AO71">
        <v>120</v>
      </c>
      <c r="AP71">
        <v>100</v>
      </c>
      <c r="AQ71">
        <v>168</v>
      </c>
      <c r="AR71">
        <v>100</v>
      </c>
      <c r="AS71">
        <v>70</v>
      </c>
      <c r="AT71">
        <v>5</v>
      </c>
      <c r="AU71">
        <v>20</v>
      </c>
      <c r="AV71">
        <v>24</v>
      </c>
      <c r="AW71">
        <v>35</v>
      </c>
      <c r="AX71">
        <v>84</v>
      </c>
      <c r="AY71">
        <v>120</v>
      </c>
      <c r="AZ71">
        <v>120</v>
      </c>
      <c r="BA71">
        <v>30</v>
      </c>
      <c r="BB71">
        <v>84</v>
      </c>
      <c r="BC71">
        <v>20</v>
      </c>
      <c r="BD71">
        <v>20</v>
      </c>
      <c r="BE71">
        <v>120</v>
      </c>
      <c r="BF71">
        <v>168</v>
      </c>
      <c r="BG71" s="26"/>
      <c r="BH71" s="26"/>
      <c r="BI71" s="26"/>
      <c r="BJ71" s="26"/>
      <c r="BK71" s="26"/>
      <c r="BL71" s="26"/>
      <c r="BM71" s="26"/>
      <c r="BN71" s="26"/>
      <c r="BO71" s="26"/>
      <c r="BP71" s="26"/>
      <c r="BQ71" s="26"/>
      <c r="BR71" s="26"/>
      <c r="BS71" s="26"/>
      <c r="BT71" s="26"/>
      <c r="BU71" s="26"/>
      <c r="BV71" s="26"/>
      <c r="BW71" s="26"/>
      <c r="BX71" s="26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K71" s="26"/>
      <c r="CL71" s="26"/>
      <c r="CM71" s="26"/>
      <c r="CN71" s="26"/>
      <c r="CO71" s="26"/>
      <c r="CP71" s="26"/>
      <c r="CQ71" s="26"/>
      <c r="CR71" s="26"/>
      <c r="CS71" s="26"/>
      <c r="CT71" s="26"/>
      <c r="CU71" s="26"/>
      <c r="CV71" s="26"/>
      <c r="CW71" s="26"/>
      <c r="CX71" s="26"/>
      <c r="CY71" s="26"/>
      <c r="CZ71" s="26"/>
      <c r="DA71" s="26"/>
      <c r="DB71" s="26"/>
      <c r="DC71" s="26"/>
      <c r="DD71" s="26"/>
    </row>
    <row r="72" spans="8:108" x14ac:dyDescent="0.2">
      <c r="H72" s="27">
        <f t="shared" ref="H72:H102" si="1">H71+1</f>
        <v>70</v>
      </c>
      <c r="I72">
        <v>120</v>
      </c>
      <c r="J72">
        <v>50</v>
      </c>
      <c r="K72">
        <v>35</v>
      </c>
      <c r="L72">
        <v>25</v>
      </c>
      <c r="M72">
        <v>35</v>
      </c>
      <c r="N72">
        <v>25</v>
      </c>
      <c r="O72">
        <v>35</v>
      </c>
      <c r="P72">
        <v>42</v>
      </c>
      <c r="Q72">
        <v>100</v>
      </c>
      <c r="R72">
        <v>140</v>
      </c>
      <c r="S72">
        <v>35</v>
      </c>
      <c r="T72">
        <v>140</v>
      </c>
      <c r="U72">
        <v>42</v>
      </c>
      <c r="V72">
        <v>200</v>
      </c>
      <c r="W72">
        <v>60</v>
      </c>
      <c r="X72">
        <v>20</v>
      </c>
      <c r="Y72">
        <v>120</v>
      </c>
      <c r="Z72">
        <v>96</v>
      </c>
      <c r="AA72">
        <v>35</v>
      </c>
      <c r="AB72">
        <v>120</v>
      </c>
      <c r="AC72">
        <v>35</v>
      </c>
      <c r="AD72">
        <v>84</v>
      </c>
      <c r="AE72">
        <v>168</v>
      </c>
      <c r="AF72">
        <v>30</v>
      </c>
      <c r="AG72">
        <v>168</v>
      </c>
      <c r="AH72">
        <v>25</v>
      </c>
      <c r="AI72">
        <v>35</v>
      </c>
      <c r="AJ72">
        <v>96</v>
      </c>
      <c r="AK72">
        <v>120</v>
      </c>
      <c r="AL72">
        <v>240</v>
      </c>
      <c r="AM72">
        <v>20</v>
      </c>
      <c r="AN72">
        <v>140</v>
      </c>
      <c r="AO72">
        <v>120</v>
      </c>
      <c r="AP72">
        <v>20</v>
      </c>
      <c r="AQ72">
        <v>24</v>
      </c>
      <c r="AR72">
        <v>42</v>
      </c>
      <c r="AS72">
        <v>35</v>
      </c>
      <c r="AT72">
        <v>30</v>
      </c>
      <c r="AU72">
        <v>20</v>
      </c>
      <c r="AV72">
        <v>42</v>
      </c>
      <c r="AW72">
        <v>20</v>
      </c>
      <c r="AX72">
        <v>100</v>
      </c>
      <c r="AY72">
        <v>100</v>
      </c>
      <c r="AZ72">
        <v>35</v>
      </c>
      <c r="BA72">
        <v>20</v>
      </c>
      <c r="BB72">
        <v>84</v>
      </c>
      <c r="BC72">
        <v>84</v>
      </c>
      <c r="BD72">
        <v>120</v>
      </c>
      <c r="BE72">
        <v>140</v>
      </c>
      <c r="BF72">
        <v>100</v>
      </c>
      <c r="BG72" s="26"/>
      <c r="BH72" s="26"/>
      <c r="BI72" s="26"/>
      <c r="BJ72" s="26"/>
      <c r="BK72" s="26"/>
      <c r="BL72" s="26"/>
      <c r="BM72" s="26"/>
      <c r="BN72" s="26"/>
      <c r="BO72" s="26"/>
      <c r="BP72" s="26"/>
      <c r="BQ72" s="26"/>
      <c r="BR72" s="26"/>
      <c r="BS72" s="26"/>
      <c r="BT72" s="26"/>
      <c r="BU72" s="26"/>
      <c r="BV72" s="26"/>
      <c r="BW72" s="26"/>
      <c r="BX72" s="26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K72" s="26"/>
      <c r="CL72" s="26"/>
      <c r="CM72" s="26"/>
      <c r="CN72" s="26"/>
      <c r="CO72" s="26"/>
      <c r="CP72" s="26"/>
      <c r="CQ72" s="26"/>
      <c r="CR72" s="26"/>
      <c r="CS72" s="26"/>
      <c r="CT72" s="26"/>
      <c r="CU72" s="26"/>
      <c r="CV72" s="26"/>
      <c r="CW72" s="26"/>
      <c r="CX72" s="26"/>
      <c r="CY72" s="26"/>
      <c r="CZ72" s="26"/>
      <c r="DA72" s="26"/>
      <c r="DB72" s="26"/>
      <c r="DC72" s="26"/>
      <c r="DD72" s="26"/>
    </row>
    <row r="73" spans="8:108" x14ac:dyDescent="0.2">
      <c r="H73" s="27">
        <f t="shared" si="1"/>
        <v>71</v>
      </c>
      <c r="I73">
        <v>140</v>
      </c>
      <c r="J73">
        <v>140</v>
      </c>
      <c r="K73">
        <v>25</v>
      </c>
      <c r="L73">
        <v>120</v>
      </c>
      <c r="M73">
        <v>168</v>
      </c>
      <c r="N73">
        <v>35</v>
      </c>
      <c r="O73">
        <v>42</v>
      </c>
      <c r="P73">
        <v>25</v>
      </c>
      <c r="Q73">
        <v>20</v>
      </c>
      <c r="R73">
        <v>25</v>
      </c>
      <c r="S73">
        <v>42</v>
      </c>
      <c r="T73">
        <v>50</v>
      </c>
      <c r="U73">
        <v>200</v>
      </c>
      <c r="V73">
        <v>20</v>
      </c>
      <c r="W73">
        <v>100</v>
      </c>
      <c r="X73">
        <v>20</v>
      </c>
      <c r="Y73">
        <v>25</v>
      </c>
      <c r="Z73">
        <v>84</v>
      </c>
      <c r="AA73">
        <v>84</v>
      </c>
      <c r="AB73">
        <v>24</v>
      </c>
      <c r="AC73">
        <v>25</v>
      </c>
      <c r="AD73">
        <v>42</v>
      </c>
      <c r="AE73">
        <v>25</v>
      </c>
      <c r="AF73">
        <v>140</v>
      </c>
      <c r="AG73">
        <v>140</v>
      </c>
      <c r="AH73">
        <v>35</v>
      </c>
      <c r="AI73">
        <v>80</v>
      </c>
      <c r="AJ73">
        <v>100</v>
      </c>
      <c r="AK73">
        <v>42</v>
      </c>
      <c r="AL73">
        <v>35</v>
      </c>
      <c r="AM73">
        <v>25</v>
      </c>
      <c r="AN73">
        <v>25</v>
      </c>
      <c r="AO73">
        <v>42</v>
      </c>
      <c r="AP73">
        <v>25</v>
      </c>
      <c r="AQ73">
        <v>84</v>
      </c>
      <c r="AR73">
        <v>140</v>
      </c>
      <c r="AS73">
        <v>35</v>
      </c>
      <c r="AT73">
        <v>84</v>
      </c>
      <c r="AU73">
        <v>42</v>
      </c>
      <c r="AV73">
        <v>30</v>
      </c>
      <c r="AW73">
        <v>42</v>
      </c>
      <c r="AX73">
        <v>25</v>
      </c>
      <c r="AY73">
        <v>96</v>
      </c>
      <c r="AZ73">
        <v>60</v>
      </c>
      <c r="BA73">
        <v>96</v>
      </c>
      <c r="BB73">
        <v>35</v>
      </c>
      <c r="BC73">
        <v>80</v>
      </c>
      <c r="BD73">
        <v>96</v>
      </c>
      <c r="BE73">
        <v>24</v>
      </c>
      <c r="BF73">
        <v>25</v>
      </c>
      <c r="BG73" s="26"/>
      <c r="BH73" s="26"/>
      <c r="BI73" s="26"/>
      <c r="BJ73" s="26"/>
      <c r="BK73" s="26"/>
      <c r="BL73" s="26"/>
      <c r="BM73" s="26"/>
      <c r="BN73" s="26"/>
      <c r="BO73" s="26"/>
      <c r="BP73" s="26"/>
      <c r="BQ73" s="26"/>
      <c r="BR73" s="26"/>
      <c r="BS73" s="26"/>
      <c r="BT73" s="26"/>
      <c r="BU73" s="26"/>
      <c r="BV73" s="26"/>
      <c r="BW73" s="26"/>
      <c r="BX73" s="26"/>
      <c r="BY73" s="26"/>
      <c r="BZ73" s="26"/>
      <c r="CA73" s="26"/>
      <c r="CB73" s="26"/>
      <c r="CC73" s="26"/>
      <c r="CD73" s="26"/>
      <c r="CE73" s="26"/>
      <c r="CF73" s="26"/>
      <c r="CG73" s="26"/>
      <c r="CH73" s="26"/>
      <c r="CI73" s="26"/>
      <c r="CJ73" s="26"/>
      <c r="CK73" s="26"/>
      <c r="CL73" s="26"/>
      <c r="CM73" s="26"/>
      <c r="CN73" s="26"/>
      <c r="CO73" s="26"/>
      <c r="CP73" s="26"/>
      <c r="CQ73" s="26"/>
      <c r="CR73" s="26"/>
      <c r="CS73" s="26"/>
      <c r="CT73" s="26"/>
      <c r="CU73" s="26"/>
      <c r="CV73" s="26"/>
      <c r="CW73" s="26"/>
      <c r="CX73" s="26"/>
      <c r="CY73" s="26"/>
      <c r="CZ73" s="26"/>
      <c r="DA73" s="26"/>
      <c r="DB73" s="26"/>
      <c r="DC73" s="26"/>
      <c r="DD73" s="26"/>
    </row>
    <row r="74" spans="8:108" x14ac:dyDescent="0.2">
      <c r="H74" s="27">
        <f t="shared" si="1"/>
        <v>72</v>
      </c>
      <c r="I74">
        <v>5</v>
      </c>
      <c r="J74">
        <v>20</v>
      </c>
      <c r="K74">
        <v>25</v>
      </c>
      <c r="L74">
        <v>80</v>
      </c>
      <c r="M74">
        <v>20</v>
      </c>
      <c r="N74">
        <v>42</v>
      </c>
      <c r="O74">
        <v>20</v>
      </c>
      <c r="P74">
        <v>42</v>
      </c>
      <c r="Q74">
        <v>140</v>
      </c>
      <c r="R74">
        <v>84</v>
      </c>
      <c r="S74">
        <v>24</v>
      </c>
      <c r="T74">
        <v>20</v>
      </c>
      <c r="U74">
        <v>24</v>
      </c>
      <c r="V74">
        <v>20</v>
      </c>
      <c r="W74">
        <v>42</v>
      </c>
      <c r="X74">
        <v>80</v>
      </c>
      <c r="Y74">
        <v>100</v>
      </c>
      <c r="Z74">
        <v>25</v>
      </c>
      <c r="AA74">
        <v>25</v>
      </c>
      <c r="AB74">
        <v>25</v>
      </c>
      <c r="AC74">
        <v>35</v>
      </c>
      <c r="AD74">
        <v>20</v>
      </c>
      <c r="AE74">
        <v>20</v>
      </c>
      <c r="AF74">
        <v>42</v>
      </c>
      <c r="AG74">
        <v>35</v>
      </c>
      <c r="AH74">
        <v>35</v>
      </c>
      <c r="AI74">
        <v>35</v>
      </c>
      <c r="AJ74">
        <v>25</v>
      </c>
      <c r="AK74">
        <v>35</v>
      </c>
      <c r="AL74">
        <v>120</v>
      </c>
      <c r="AM74">
        <v>24</v>
      </c>
      <c r="AN74">
        <v>100</v>
      </c>
      <c r="AO74">
        <v>35</v>
      </c>
      <c r="AP74">
        <v>35</v>
      </c>
      <c r="AQ74">
        <v>80</v>
      </c>
      <c r="AR74">
        <v>20</v>
      </c>
      <c r="AS74">
        <v>20</v>
      </c>
      <c r="AT74">
        <v>100</v>
      </c>
      <c r="AU74">
        <v>70</v>
      </c>
      <c r="AV74">
        <v>200</v>
      </c>
      <c r="AW74">
        <v>42</v>
      </c>
      <c r="AX74">
        <v>35</v>
      </c>
      <c r="AY74">
        <v>140</v>
      </c>
      <c r="AZ74">
        <v>42</v>
      </c>
      <c r="BA74">
        <v>20</v>
      </c>
      <c r="BB74">
        <v>50</v>
      </c>
      <c r="BC74">
        <v>35</v>
      </c>
      <c r="BD74">
        <v>35</v>
      </c>
      <c r="BE74">
        <v>25</v>
      </c>
      <c r="BF74">
        <v>35</v>
      </c>
      <c r="BG74" s="26"/>
      <c r="BH74" s="26"/>
      <c r="BI74" s="26"/>
      <c r="BJ74" s="26"/>
      <c r="BK74" s="26"/>
      <c r="BL74" s="26"/>
      <c r="BM74" s="26"/>
      <c r="BN74" s="26"/>
      <c r="BO74" s="26"/>
      <c r="BP74" s="26"/>
      <c r="BQ74" s="26"/>
      <c r="BR74" s="26"/>
      <c r="BS74" s="26"/>
      <c r="BT74" s="26"/>
      <c r="BU74" s="26"/>
      <c r="BV74" s="26"/>
      <c r="BW74" s="26"/>
      <c r="BX74" s="26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K74" s="26"/>
      <c r="CL74" s="26"/>
      <c r="CM74" s="26"/>
      <c r="CN74" s="26"/>
      <c r="CO74" s="26"/>
      <c r="CP74" s="26"/>
      <c r="CQ74" s="26"/>
      <c r="CR74" s="26"/>
      <c r="CS74" s="26"/>
      <c r="CT74" s="26"/>
      <c r="CU74" s="26"/>
      <c r="CV74" s="26"/>
      <c r="CW74" s="26"/>
      <c r="CX74" s="26"/>
      <c r="CY74" s="26"/>
      <c r="CZ74" s="26"/>
      <c r="DA74" s="26"/>
      <c r="DB74" s="26"/>
      <c r="DC74" s="26"/>
      <c r="DD74" s="26"/>
    </row>
    <row r="75" spans="8:108" x14ac:dyDescent="0.2">
      <c r="H75" s="27">
        <f t="shared" si="1"/>
        <v>73</v>
      </c>
      <c r="I75">
        <v>96</v>
      </c>
      <c r="J75">
        <v>35</v>
      </c>
      <c r="K75">
        <v>42</v>
      </c>
      <c r="L75">
        <v>120</v>
      </c>
      <c r="M75">
        <v>100</v>
      </c>
      <c r="N75">
        <v>42</v>
      </c>
      <c r="O75">
        <v>35</v>
      </c>
      <c r="P75">
        <v>100</v>
      </c>
      <c r="Q75">
        <v>42</v>
      </c>
      <c r="R75">
        <v>20</v>
      </c>
      <c r="S75">
        <v>60</v>
      </c>
      <c r="T75">
        <v>30</v>
      </c>
      <c r="U75">
        <v>42</v>
      </c>
      <c r="V75">
        <v>42</v>
      </c>
      <c r="W75">
        <v>25</v>
      </c>
      <c r="X75">
        <v>20</v>
      </c>
      <c r="Y75">
        <v>70</v>
      </c>
      <c r="Z75">
        <v>120</v>
      </c>
      <c r="AA75">
        <v>70</v>
      </c>
      <c r="AB75">
        <v>42</v>
      </c>
      <c r="AC75">
        <v>120</v>
      </c>
      <c r="AD75">
        <v>24</v>
      </c>
      <c r="AE75">
        <v>35</v>
      </c>
      <c r="AF75">
        <v>120</v>
      </c>
      <c r="AG75">
        <v>42</v>
      </c>
      <c r="AH75">
        <v>35</v>
      </c>
      <c r="AI75">
        <v>25</v>
      </c>
      <c r="AJ75">
        <v>35</v>
      </c>
      <c r="AK75">
        <v>168</v>
      </c>
      <c r="AL75">
        <v>35</v>
      </c>
      <c r="AM75">
        <v>35</v>
      </c>
      <c r="AN75">
        <v>24</v>
      </c>
      <c r="AO75">
        <v>35</v>
      </c>
      <c r="AP75">
        <v>35</v>
      </c>
      <c r="AQ75">
        <v>100</v>
      </c>
      <c r="AR75">
        <v>35</v>
      </c>
      <c r="AS75">
        <v>35</v>
      </c>
      <c r="AT75">
        <v>35</v>
      </c>
      <c r="AU75">
        <v>140</v>
      </c>
      <c r="AV75">
        <v>100</v>
      </c>
      <c r="AW75">
        <v>25</v>
      </c>
      <c r="AX75">
        <v>20</v>
      </c>
      <c r="AY75">
        <v>35</v>
      </c>
      <c r="AZ75">
        <v>35</v>
      </c>
      <c r="BA75">
        <v>84</v>
      </c>
      <c r="BB75">
        <v>24</v>
      </c>
      <c r="BC75">
        <v>42</v>
      </c>
      <c r="BD75">
        <v>20</v>
      </c>
      <c r="BE75">
        <v>30</v>
      </c>
      <c r="BF75">
        <v>120</v>
      </c>
      <c r="BG75" s="26"/>
      <c r="BH75" s="26"/>
      <c r="BI75" s="26"/>
      <c r="BJ75" s="26"/>
      <c r="BK75" s="26"/>
      <c r="BL75" s="26"/>
      <c r="BM75" s="26"/>
      <c r="BN75" s="26"/>
      <c r="BO75" s="26"/>
      <c r="BP75" s="26"/>
      <c r="BQ75" s="26"/>
      <c r="BR75" s="26"/>
      <c r="BS75" s="26"/>
      <c r="BT75" s="26"/>
      <c r="BU75" s="26"/>
      <c r="BV75" s="26"/>
      <c r="BW75" s="26"/>
      <c r="BX75" s="26"/>
      <c r="BY75" s="26"/>
      <c r="BZ75" s="26"/>
      <c r="CA75" s="26"/>
      <c r="CB75" s="26"/>
      <c r="CC75" s="26"/>
      <c r="CD75" s="26"/>
      <c r="CE75" s="26"/>
      <c r="CF75" s="26"/>
      <c r="CG75" s="26"/>
      <c r="CH75" s="26"/>
      <c r="CI75" s="26"/>
      <c r="CJ75" s="26"/>
      <c r="CK75" s="26"/>
      <c r="CL75" s="26"/>
      <c r="CM75" s="26"/>
      <c r="CN75" s="26"/>
      <c r="CO75" s="26"/>
      <c r="CP75" s="26"/>
      <c r="CQ75" s="26"/>
      <c r="CR75" s="26"/>
      <c r="CS75" s="26"/>
      <c r="CT75" s="26"/>
      <c r="CU75" s="26"/>
      <c r="CV75" s="26"/>
      <c r="CW75" s="26"/>
      <c r="CX75" s="26"/>
      <c r="CY75" s="26"/>
      <c r="CZ75" s="26"/>
      <c r="DA75" s="26"/>
      <c r="DB75" s="26"/>
      <c r="DC75" s="26"/>
      <c r="DD75" s="26"/>
    </row>
    <row r="76" spans="8:108" x14ac:dyDescent="0.2">
      <c r="H76" s="27">
        <f t="shared" si="1"/>
        <v>74</v>
      </c>
      <c r="I76">
        <v>20</v>
      </c>
      <c r="J76">
        <v>25</v>
      </c>
      <c r="K76">
        <v>84</v>
      </c>
      <c r="L76">
        <v>140</v>
      </c>
      <c r="M76">
        <v>80</v>
      </c>
      <c r="N76">
        <v>42</v>
      </c>
      <c r="O76">
        <v>100</v>
      </c>
      <c r="P76">
        <v>24</v>
      </c>
      <c r="Q76">
        <v>30</v>
      </c>
      <c r="R76">
        <v>100</v>
      </c>
      <c r="S76">
        <v>35</v>
      </c>
      <c r="T76">
        <v>35</v>
      </c>
      <c r="U76">
        <v>42</v>
      </c>
      <c r="V76">
        <v>6</v>
      </c>
      <c r="W76">
        <v>140</v>
      </c>
      <c r="X76">
        <v>35</v>
      </c>
      <c r="Y76">
        <v>25</v>
      </c>
      <c r="Z76">
        <v>168</v>
      </c>
      <c r="AA76">
        <v>140</v>
      </c>
      <c r="AB76">
        <v>35</v>
      </c>
      <c r="AC76">
        <v>70</v>
      </c>
      <c r="AD76">
        <v>35</v>
      </c>
      <c r="AE76">
        <v>25</v>
      </c>
      <c r="AF76">
        <v>35</v>
      </c>
      <c r="AG76">
        <v>30</v>
      </c>
      <c r="AH76">
        <v>140</v>
      </c>
      <c r="AI76">
        <v>80</v>
      </c>
      <c r="AJ76">
        <v>35</v>
      </c>
      <c r="AK76">
        <v>240</v>
      </c>
      <c r="AL76">
        <v>35</v>
      </c>
      <c r="AM76">
        <v>42</v>
      </c>
      <c r="AN76">
        <v>20</v>
      </c>
      <c r="AO76">
        <v>20</v>
      </c>
      <c r="AP76">
        <v>140</v>
      </c>
      <c r="AQ76">
        <v>42</v>
      </c>
      <c r="AR76">
        <v>100</v>
      </c>
      <c r="AS76">
        <v>42</v>
      </c>
      <c r="AT76">
        <v>35</v>
      </c>
      <c r="AU76">
        <v>100</v>
      </c>
      <c r="AV76">
        <v>24</v>
      </c>
      <c r="AW76">
        <v>100</v>
      </c>
      <c r="AX76">
        <v>35</v>
      </c>
      <c r="AY76">
        <v>30</v>
      </c>
      <c r="AZ76">
        <v>20</v>
      </c>
      <c r="BA76">
        <v>35</v>
      </c>
      <c r="BB76">
        <v>80</v>
      </c>
      <c r="BC76">
        <v>42</v>
      </c>
      <c r="BD76">
        <v>240</v>
      </c>
      <c r="BE76">
        <v>35</v>
      </c>
      <c r="BF76">
        <v>20</v>
      </c>
      <c r="BG76" s="26"/>
      <c r="BH76" s="26"/>
      <c r="BI76" s="26"/>
      <c r="BJ76" s="26"/>
      <c r="BK76" s="26"/>
      <c r="BL76" s="26"/>
      <c r="BM76" s="26"/>
      <c r="BN76" s="26"/>
      <c r="BO76" s="26"/>
      <c r="BP76" s="26"/>
      <c r="BQ76" s="26"/>
      <c r="BR76" s="26"/>
      <c r="BS76" s="26"/>
      <c r="BT76" s="26"/>
      <c r="BU76" s="26"/>
      <c r="BV76" s="26"/>
      <c r="BW76" s="26"/>
      <c r="BX76" s="26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26"/>
      <c r="CP76" s="26"/>
      <c r="CQ76" s="26"/>
      <c r="CR76" s="26"/>
      <c r="CS76" s="26"/>
      <c r="CT76" s="26"/>
      <c r="CU76" s="26"/>
      <c r="CV76" s="26"/>
      <c r="CW76" s="26"/>
      <c r="CX76" s="26"/>
      <c r="CY76" s="26"/>
      <c r="CZ76" s="26"/>
      <c r="DA76" s="26"/>
      <c r="DB76" s="26"/>
      <c r="DC76" s="26"/>
      <c r="DD76" s="26"/>
    </row>
    <row r="77" spans="8:108" x14ac:dyDescent="0.2">
      <c r="H77" s="27">
        <f t="shared" si="1"/>
        <v>75</v>
      </c>
      <c r="I77">
        <v>30</v>
      </c>
      <c r="J77">
        <v>120</v>
      </c>
      <c r="K77">
        <v>20</v>
      </c>
      <c r="L77">
        <v>35</v>
      </c>
      <c r="M77">
        <v>25</v>
      </c>
      <c r="N77">
        <v>100</v>
      </c>
      <c r="O77">
        <v>35</v>
      </c>
      <c r="P77">
        <v>120</v>
      </c>
      <c r="Q77">
        <v>20</v>
      </c>
      <c r="R77">
        <v>35</v>
      </c>
      <c r="S77">
        <v>24</v>
      </c>
      <c r="T77">
        <v>100</v>
      </c>
      <c r="U77">
        <v>140</v>
      </c>
      <c r="V77">
        <v>35</v>
      </c>
      <c r="W77">
        <v>42</v>
      </c>
      <c r="X77">
        <v>200</v>
      </c>
      <c r="Y77">
        <v>42</v>
      </c>
      <c r="Z77">
        <v>42</v>
      </c>
      <c r="AA77">
        <v>42</v>
      </c>
      <c r="AB77">
        <v>42</v>
      </c>
      <c r="AC77">
        <v>42</v>
      </c>
      <c r="AD77">
        <v>60</v>
      </c>
      <c r="AE77">
        <v>20</v>
      </c>
      <c r="AF77">
        <v>100</v>
      </c>
      <c r="AG77">
        <v>100</v>
      </c>
      <c r="AH77">
        <v>120</v>
      </c>
      <c r="AI77">
        <v>24</v>
      </c>
      <c r="AJ77">
        <v>35</v>
      </c>
      <c r="AK77">
        <v>120</v>
      </c>
      <c r="AL77">
        <v>25</v>
      </c>
      <c r="AM77">
        <v>24</v>
      </c>
      <c r="AN77">
        <v>96</v>
      </c>
      <c r="AO77">
        <v>35</v>
      </c>
      <c r="AP77">
        <v>100</v>
      </c>
      <c r="AQ77">
        <v>35</v>
      </c>
      <c r="AR77">
        <v>25</v>
      </c>
      <c r="AS77">
        <v>140</v>
      </c>
      <c r="AT77">
        <v>42</v>
      </c>
      <c r="AU77">
        <v>96</v>
      </c>
      <c r="AV77">
        <v>20</v>
      </c>
      <c r="AW77">
        <v>30</v>
      </c>
      <c r="AX77">
        <v>140</v>
      </c>
      <c r="AY77">
        <v>120</v>
      </c>
      <c r="AZ77">
        <v>140</v>
      </c>
      <c r="BA77">
        <v>96</v>
      </c>
      <c r="BB77">
        <v>42</v>
      </c>
      <c r="BC77">
        <v>240</v>
      </c>
      <c r="BD77">
        <v>35</v>
      </c>
      <c r="BE77">
        <v>25</v>
      </c>
      <c r="BF77">
        <v>140</v>
      </c>
      <c r="BG77" s="26"/>
      <c r="BH77" s="26"/>
      <c r="BI77" s="26"/>
      <c r="BJ77" s="26"/>
      <c r="BK77" s="26"/>
      <c r="BL77" s="26"/>
      <c r="BM77" s="26"/>
      <c r="BN77" s="26"/>
      <c r="BO77" s="26"/>
      <c r="BP77" s="26"/>
      <c r="BQ77" s="26"/>
      <c r="BR77" s="26"/>
      <c r="BS77" s="26"/>
      <c r="BT77" s="26"/>
      <c r="BU77" s="26"/>
      <c r="BV77" s="26"/>
      <c r="BW77" s="26"/>
      <c r="BX77" s="26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K77" s="26"/>
      <c r="CL77" s="26"/>
      <c r="CM77" s="26"/>
      <c r="CN77" s="26"/>
      <c r="CO77" s="26"/>
      <c r="CP77" s="26"/>
      <c r="CQ77" s="26"/>
      <c r="CR77" s="26"/>
      <c r="CS77" s="26"/>
      <c r="CT77" s="26"/>
      <c r="CU77" s="26"/>
      <c r="CV77" s="26"/>
      <c r="CW77" s="26"/>
      <c r="CX77" s="26"/>
      <c r="CY77" s="26"/>
      <c r="CZ77" s="26"/>
      <c r="DA77" s="26"/>
      <c r="DB77" s="26"/>
      <c r="DC77" s="26"/>
      <c r="DD77" s="26"/>
    </row>
    <row r="78" spans="8:108" x14ac:dyDescent="0.2">
      <c r="H78" s="27">
        <f t="shared" si="1"/>
        <v>76</v>
      </c>
      <c r="I78">
        <v>42</v>
      </c>
      <c r="J78">
        <v>35</v>
      </c>
      <c r="K78">
        <v>120</v>
      </c>
      <c r="L78">
        <v>100</v>
      </c>
      <c r="M78">
        <v>42</v>
      </c>
      <c r="N78">
        <v>20</v>
      </c>
      <c r="O78">
        <v>35</v>
      </c>
      <c r="P78">
        <v>35</v>
      </c>
      <c r="Q78">
        <v>100</v>
      </c>
      <c r="R78">
        <v>24</v>
      </c>
      <c r="S78">
        <v>70</v>
      </c>
      <c r="T78">
        <v>140</v>
      </c>
      <c r="U78">
        <v>25</v>
      </c>
      <c r="V78">
        <v>140</v>
      </c>
      <c r="W78">
        <v>35</v>
      </c>
      <c r="X78">
        <v>35</v>
      </c>
      <c r="Y78">
        <v>35</v>
      </c>
      <c r="Z78">
        <v>20</v>
      </c>
      <c r="AA78">
        <v>35</v>
      </c>
      <c r="AB78">
        <v>168</v>
      </c>
      <c r="AC78">
        <v>80</v>
      </c>
      <c r="AD78">
        <v>80</v>
      </c>
      <c r="AE78">
        <v>42</v>
      </c>
      <c r="AF78">
        <v>100</v>
      </c>
      <c r="AG78">
        <v>50</v>
      </c>
      <c r="AH78">
        <v>35</v>
      </c>
      <c r="AI78">
        <v>20</v>
      </c>
      <c r="AJ78">
        <v>35</v>
      </c>
      <c r="AK78">
        <v>80</v>
      </c>
      <c r="AL78">
        <v>35</v>
      </c>
      <c r="AM78">
        <v>20</v>
      </c>
      <c r="AN78">
        <v>96</v>
      </c>
      <c r="AO78">
        <v>24</v>
      </c>
      <c r="AP78">
        <v>140</v>
      </c>
      <c r="AQ78">
        <v>35</v>
      </c>
      <c r="AR78">
        <v>35</v>
      </c>
      <c r="AS78">
        <v>20</v>
      </c>
      <c r="AT78">
        <v>35</v>
      </c>
      <c r="AU78">
        <v>70</v>
      </c>
      <c r="AV78">
        <v>200</v>
      </c>
      <c r="AW78">
        <v>60</v>
      </c>
      <c r="AX78">
        <v>120</v>
      </c>
      <c r="AY78">
        <v>35</v>
      </c>
      <c r="AZ78">
        <v>168</v>
      </c>
      <c r="BA78">
        <v>20</v>
      </c>
      <c r="BB78">
        <v>100</v>
      </c>
      <c r="BC78">
        <v>140</v>
      </c>
      <c r="BD78">
        <v>84</v>
      </c>
      <c r="BE78">
        <v>100</v>
      </c>
      <c r="BF78">
        <v>42</v>
      </c>
      <c r="BG78" s="26"/>
      <c r="BH78" s="26"/>
      <c r="BI78" s="26"/>
      <c r="BJ78" s="26"/>
      <c r="BK78" s="26"/>
      <c r="BL78" s="26"/>
      <c r="BM78" s="26"/>
      <c r="BN78" s="26"/>
      <c r="BO78" s="26"/>
      <c r="BP78" s="26"/>
      <c r="BQ78" s="26"/>
      <c r="BR78" s="26"/>
      <c r="BS78" s="26"/>
      <c r="BT78" s="26"/>
      <c r="BU78" s="26"/>
      <c r="BV78" s="26"/>
      <c r="BW78" s="26"/>
      <c r="BX78" s="26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K78" s="26"/>
      <c r="CL78" s="26"/>
      <c r="CM78" s="26"/>
      <c r="CN78" s="26"/>
      <c r="CO78" s="26"/>
      <c r="CP78" s="26"/>
      <c r="CQ78" s="26"/>
      <c r="CR78" s="26"/>
      <c r="CS78" s="26"/>
      <c r="CT78" s="26"/>
      <c r="CU78" s="26"/>
      <c r="CV78" s="26"/>
      <c r="CW78" s="26"/>
      <c r="CX78" s="26"/>
      <c r="CY78" s="26"/>
      <c r="CZ78" s="26"/>
      <c r="DA78" s="26"/>
      <c r="DB78" s="26"/>
      <c r="DC78" s="26"/>
      <c r="DD78" s="26"/>
    </row>
    <row r="79" spans="8:108" x14ac:dyDescent="0.2">
      <c r="H79" s="27">
        <f t="shared" si="1"/>
        <v>77</v>
      </c>
      <c r="I79">
        <v>42</v>
      </c>
      <c r="J79">
        <v>24</v>
      </c>
      <c r="K79">
        <v>140</v>
      </c>
      <c r="L79">
        <v>20</v>
      </c>
      <c r="M79">
        <v>20</v>
      </c>
      <c r="N79">
        <v>42</v>
      </c>
      <c r="O79">
        <v>140</v>
      </c>
      <c r="P79">
        <v>120</v>
      </c>
      <c r="Q79">
        <v>24</v>
      </c>
      <c r="R79">
        <v>20</v>
      </c>
      <c r="S79">
        <v>100</v>
      </c>
      <c r="T79">
        <v>5</v>
      </c>
      <c r="U79">
        <v>35</v>
      </c>
      <c r="V79">
        <v>35</v>
      </c>
      <c r="W79">
        <v>20</v>
      </c>
      <c r="X79">
        <v>35</v>
      </c>
      <c r="Y79">
        <v>240</v>
      </c>
      <c r="Z79">
        <v>84</v>
      </c>
      <c r="AA79">
        <v>120</v>
      </c>
      <c r="AB79">
        <v>35</v>
      </c>
      <c r="AC79">
        <v>120</v>
      </c>
      <c r="AD79">
        <v>25</v>
      </c>
      <c r="AE79">
        <v>35</v>
      </c>
      <c r="AF79">
        <v>35</v>
      </c>
      <c r="AG79">
        <v>42</v>
      </c>
      <c r="AH79">
        <v>25</v>
      </c>
      <c r="AI79">
        <v>35</v>
      </c>
      <c r="AJ79">
        <v>24</v>
      </c>
      <c r="AK79">
        <v>96</v>
      </c>
      <c r="AL79">
        <v>35</v>
      </c>
      <c r="AM79">
        <v>20</v>
      </c>
      <c r="AN79">
        <v>100</v>
      </c>
      <c r="AO79">
        <v>35</v>
      </c>
      <c r="AP79">
        <v>200</v>
      </c>
      <c r="AQ79">
        <v>30</v>
      </c>
      <c r="AR79">
        <v>100</v>
      </c>
      <c r="AS79">
        <v>30</v>
      </c>
      <c r="AT79">
        <v>25</v>
      </c>
      <c r="AU79">
        <v>42</v>
      </c>
      <c r="AV79">
        <v>20</v>
      </c>
      <c r="AW79">
        <v>120</v>
      </c>
      <c r="AX79">
        <v>35</v>
      </c>
      <c r="AY79">
        <v>24</v>
      </c>
      <c r="AZ79">
        <v>100</v>
      </c>
      <c r="BA79">
        <v>25</v>
      </c>
      <c r="BB79">
        <v>84</v>
      </c>
      <c r="BC79">
        <v>20</v>
      </c>
      <c r="BD79">
        <v>20</v>
      </c>
      <c r="BE79">
        <v>100</v>
      </c>
      <c r="BF79">
        <v>30</v>
      </c>
      <c r="BG79" s="26"/>
      <c r="BH79" s="26"/>
      <c r="BI79" s="26"/>
      <c r="BJ79" s="26"/>
      <c r="BK79" s="26"/>
      <c r="BL79" s="26"/>
      <c r="BM79" s="26"/>
      <c r="BN79" s="26"/>
      <c r="BO79" s="26"/>
      <c r="BP79" s="26"/>
      <c r="BQ79" s="26"/>
      <c r="BR79" s="26"/>
      <c r="BS79" s="26"/>
      <c r="BT79" s="26"/>
      <c r="BU79" s="26"/>
      <c r="BV79" s="26"/>
      <c r="BW79" s="26"/>
      <c r="BX79" s="26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K79" s="26"/>
      <c r="CL79" s="26"/>
      <c r="CM79" s="26"/>
      <c r="CN79" s="26"/>
      <c r="CO79" s="26"/>
      <c r="CP79" s="26"/>
      <c r="CQ79" s="26"/>
      <c r="CR79" s="26"/>
      <c r="CS79" s="26"/>
      <c r="CT79" s="26"/>
      <c r="CU79" s="26"/>
      <c r="CV79" s="26"/>
      <c r="CW79" s="26"/>
      <c r="CX79" s="26"/>
      <c r="CY79" s="26"/>
      <c r="CZ79" s="26"/>
      <c r="DA79" s="26"/>
      <c r="DB79" s="26"/>
      <c r="DC79" s="26"/>
      <c r="DD79" s="26"/>
    </row>
    <row r="80" spans="8:108" x14ac:dyDescent="0.2">
      <c r="H80" s="27">
        <f t="shared" si="1"/>
        <v>78</v>
      </c>
      <c r="I80">
        <v>5</v>
      </c>
      <c r="J80">
        <v>100</v>
      </c>
      <c r="K80">
        <v>80</v>
      </c>
      <c r="L80">
        <v>35</v>
      </c>
      <c r="M80">
        <v>80</v>
      </c>
      <c r="N80">
        <v>84</v>
      </c>
      <c r="O80">
        <v>24</v>
      </c>
      <c r="P80">
        <v>42</v>
      </c>
      <c r="Q80">
        <v>84</v>
      </c>
      <c r="R80">
        <v>25</v>
      </c>
      <c r="S80">
        <v>72</v>
      </c>
      <c r="T80">
        <v>200</v>
      </c>
      <c r="U80">
        <v>20</v>
      </c>
      <c r="V80">
        <v>25</v>
      </c>
      <c r="W80">
        <v>30</v>
      </c>
      <c r="X80">
        <v>20</v>
      </c>
      <c r="Y80">
        <v>24</v>
      </c>
      <c r="Z80">
        <v>35</v>
      </c>
      <c r="AA80">
        <v>35</v>
      </c>
      <c r="AB80">
        <v>42</v>
      </c>
      <c r="AC80">
        <v>35</v>
      </c>
      <c r="AD80">
        <v>20</v>
      </c>
      <c r="AE80">
        <v>60</v>
      </c>
      <c r="AF80">
        <v>70</v>
      </c>
      <c r="AG80">
        <v>140</v>
      </c>
      <c r="AH80">
        <v>120</v>
      </c>
      <c r="AI80">
        <v>96</v>
      </c>
      <c r="AJ80">
        <v>80</v>
      </c>
      <c r="AK80">
        <v>30</v>
      </c>
      <c r="AL80">
        <v>120</v>
      </c>
      <c r="AM80">
        <v>35</v>
      </c>
      <c r="AN80">
        <v>24</v>
      </c>
      <c r="AO80">
        <v>42</v>
      </c>
      <c r="AP80">
        <v>72</v>
      </c>
      <c r="AQ80">
        <v>100</v>
      </c>
      <c r="AR80">
        <v>80</v>
      </c>
      <c r="AS80">
        <v>140</v>
      </c>
      <c r="AT80">
        <v>120</v>
      </c>
      <c r="AU80">
        <v>35</v>
      </c>
      <c r="AV80">
        <v>70</v>
      </c>
      <c r="AW80">
        <v>35</v>
      </c>
      <c r="AX80">
        <v>42</v>
      </c>
      <c r="AY80">
        <v>100</v>
      </c>
      <c r="AZ80">
        <v>25</v>
      </c>
      <c r="BA80">
        <v>35</v>
      </c>
      <c r="BB80">
        <v>80</v>
      </c>
      <c r="BC80">
        <v>20</v>
      </c>
      <c r="BD80">
        <v>42</v>
      </c>
      <c r="BE80">
        <v>100</v>
      </c>
      <c r="BF80">
        <v>96</v>
      </c>
      <c r="BG80" s="26"/>
      <c r="BH80" s="26"/>
      <c r="BI80" s="26"/>
      <c r="BJ80" s="26"/>
      <c r="BK80" s="26"/>
      <c r="BL80" s="26"/>
      <c r="BM80" s="26"/>
      <c r="BN80" s="26"/>
      <c r="BO80" s="26"/>
      <c r="BP80" s="26"/>
      <c r="BQ80" s="26"/>
      <c r="BR80" s="26"/>
      <c r="BS80" s="26"/>
      <c r="BT80" s="26"/>
      <c r="BU80" s="26"/>
      <c r="BV80" s="26"/>
      <c r="BW80" s="26"/>
      <c r="BX80" s="26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K80" s="26"/>
      <c r="CL80" s="26"/>
      <c r="CM80" s="26"/>
      <c r="CN80" s="26"/>
      <c r="CO80" s="26"/>
      <c r="CP80" s="26"/>
      <c r="CQ80" s="26"/>
      <c r="CR80" s="26"/>
      <c r="CS80" s="26"/>
      <c r="CT80" s="26"/>
      <c r="CU80" s="26"/>
      <c r="CV80" s="26"/>
      <c r="CW80" s="26"/>
      <c r="CX80" s="26"/>
      <c r="CY80" s="26"/>
      <c r="CZ80" s="26"/>
      <c r="DA80" s="26"/>
      <c r="DB80" s="26"/>
      <c r="DC80" s="26"/>
      <c r="DD80" s="26"/>
    </row>
    <row r="81" spans="8:108" x14ac:dyDescent="0.2">
      <c r="H81" s="27">
        <f t="shared" si="1"/>
        <v>79</v>
      </c>
      <c r="I81">
        <v>70</v>
      </c>
      <c r="J81">
        <v>80</v>
      </c>
      <c r="K81">
        <v>20</v>
      </c>
      <c r="L81">
        <v>120</v>
      </c>
      <c r="M81">
        <v>30</v>
      </c>
      <c r="N81">
        <v>240</v>
      </c>
      <c r="O81">
        <v>100</v>
      </c>
      <c r="P81">
        <v>35</v>
      </c>
      <c r="Q81">
        <v>35</v>
      </c>
      <c r="R81">
        <v>20</v>
      </c>
      <c r="S81">
        <v>42</v>
      </c>
      <c r="T81">
        <v>24</v>
      </c>
      <c r="U81">
        <v>20</v>
      </c>
      <c r="V81">
        <v>20</v>
      </c>
      <c r="W81">
        <v>35</v>
      </c>
      <c r="X81">
        <v>25</v>
      </c>
      <c r="Y81">
        <v>96</v>
      </c>
      <c r="Z81">
        <v>20</v>
      </c>
      <c r="AA81">
        <v>42</v>
      </c>
      <c r="AB81">
        <v>100</v>
      </c>
      <c r="AC81">
        <v>35</v>
      </c>
      <c r="AD81">
        <v>20</v>
      </c>
      <c r="AE81">
        <v>35</v>
      </c>
      <c r="AF81">
        <v>25</v>
      </c>
      <c r="AG81">
        <v>24</v>
      </c>
      <c r="AH81">
        <v>35</v>
      </c>
      <c r="AI81">
        <v>70</v>
      </c>
      <c r="AJ81">
        <v>140</v>
      </c>
      <c r="AK81">
        <v>20</v>
      </c>
      <c r="AL81">
        <v>168</v>
      </c>
      <c r="AM81">
        <v>42</v>
      </c>
      <c r="AN81">
        <v>35</v>
      </c>
      <c r="AO81">
        <v>20</v>
      </c>
      <c r="AP81">
        <v>35</v>
      </c>
      <c r="AQ81">
        <v>35</v>
      </c>
      <c r="AR81">
        <v>25</v>
      </c>
      <c r="AS81">
        <v>168</v>
      </c>
      <c r="AT81">
        <v>120</v>
      </c>
      <c r="AU81">
        <v>96</v>
      </c>
      <c r="AV81">
        <v>35</v>
      </c>
      <c r="AW81">
        <v>42</v>
      </c>
      <c r="AX81">
        <v>42</v>
      </c>
      <c r="AY81">
        <v>84</v>
      </c>
      <c r="AZ81">
        <v>35</v>
      </c>
      <c r="BA81">
        <v>25</v>
      </c>
      <c r="BB81">
        <v>25</v>
      </c>
      <c r="BC81">
        <v>100</v>
      </c>
      <c r="BD81">
        <v>35</v>
      </c>
      <c r="BE81">
        <v>120</v>
      </c>
      <c r="BF81">
        <v>20</v>
      </c>
      <c r="BG81" s="26"/>
      <c r="BH81" s="26"/>
      <c r="BI81" s="26"/>
      <c r="BJ81" s="26"/>
      <c r="BK81" s="26"/>
      <c r="BL81" s="26"/>
      <c r="BM81" s="26"/>
      <c r="BN81" s="26"/>
      <c r="BO81" s="26"/>
      <c r="BP81" s="26"/>
      <c r="BQ81" s="26"/>
      <c r="BR81" s="26"/>
      <c r="BS81" s="26"/>
      <c r="BT81" s="26"/>
      <c r="BU81" s="26"/>
      <c r="BV81" s="26"/>
      <c r="BW81" s="26"/>
      <c r="BX81" s="26"/>
      <c r="BY81" s="26"/>
      <c r="BZ81" s="26"/>
      <c r="CA81" s="26"/>
      <c r="CB81" s="26"/>
      <c r="CC81" s="26"/>
      <c r="CD81" s="26"/>
      <c r="CE81" s="26"/>
      <c r="CF81" s="26"/>
      <c r="CG81" s="26"/>
      <c r="CH81" s="26"/>
      <c r="CI81" s="26"/>
      <c r="CJ81" s="26"/>
      <c r="CK81" s="26"/>
      <c r="CL81" s="26"/>
      <c r="CM81" s="26"/>
      <c r="CN81" s="26"/>
      <c r="CO81" s="26"/>
      <c r="CP81" s="26"/>
      <c r="CQ81" s="26"/>
      <c r="CR81" s="26"/>
      <c r="CS81" s="26"/>
      <c r="CT81" s="26"/>
      <c r="CU81" s="26"/>
      <c r="CV81" s="26"/>
      <c r="CW81" s="26"/>
      <c r="CX81" s="26"/>
      <c r="CY81" s="26"/>
      <c r="CZ81" s="26"/>
      <c r="DA81" s="26"/>
      <c r="DB81" s="26"/>
      <c r="DC81" s="26"/>
      <c r="DD81" s="26"/>
    </row>
    <row r="82" spans="8:108" x14ac:dyDescent="0.2">
      <c r="H82" s="27">
        <f t="shared" si="1"/>
        <v>80</v>
      </c>
      <c r="I82">
        <v>70</v>
      </c>
      <c r="J82">
        <v>35</v>
      </c>
      <c r="K82">
        <v>60</v>
      </c>
      <c r="L82">
        <v>30</v>
      </c>
      <c r="M82">
        <v>80</v>
      </c>
      <c r="N82">
        <v>35</v>
      </c>
      <c r="O82">
        <v>100</v>
      </c>
      <c r="P82">
        <v>25</v>
      </c>
      <c r="Q82">
        <v>25</v>
      </c>
      <c r="R82">
        <v>35</v>
      </c>
      <c r="S82">
        <v>24</v>
      </c>
      <c r="T82">
        <v>35</v>
      </c>
      <c r="U82">
        <v>25</v>
      </c>
      <c r="V82">
        <v>168</v>
      </c>
      <c r="W82">
        <v>140</v>
      </c>
      <c r="X82">
        <v>35</v>
      </c>
      <c r="Y82">
        <v>100</v>
      </c>
      <c r="Z82">
        <v>80</v>
      </c>
      <c r="AA82">
        <v>84</v>
      </c>
      <c r="AB82">
        <v>80</v>
      </c>
      <c r="AC82">
        <v>35</v>
      </c>
      <c r="AD82">
        <v>168</v>
      </c>
      <c r="AE82">
        <v>24</v>
      </c>
      <c r="AF82">
        <v>24</v>
      </c>
      <c r="AG82">
        <v>25</v>
      </c>
      <c r="AH82">
        <v>80</v>
      </c>
      <c r="AI82">
        <v>30</v>
      </c>
      <c r="AJ82">
        <v>30</v>
      </c>
      <c r="AK82">
        <v>25</v>
      </c>
      <c r="AL82">
        <v>42</v>
      </c>
      <c r="AM82">
        <v>24</v>
      </c>
      <c r="AN82">
        <v>120</v>
      </c>
      <c r="AO82">
        <v>100</v>
      </c>
      <c r="AP82">
        <v>25</v>
      </c>
      <c r="AQ82">
        <v>70</v>
      </c>
      <c r="AR82">
        <v>20</v>
      </c>
      <c r="AS82">
        <v>120</v>
      </c>
      <c r="AT82">
        <v>42</v>
      </c>
      <c r="AU82">
        <v>25</v>
      </c>
      <c r="AV82">
        <v>42</v>
      </c>
      <c r="AW82">
        <v>20</v>
      </c>
      <c r="AX82">
        <v>70</v>
      </c>
      <c r="AY82">
        <v>200</v>
      </c>
      <c r="AZ82">
        <v>20</v>
      </c>
      <c r="BA82">
        <v>100</v>
      </c>
      <c r="BB82">
        <v>25</v>
      </c>
      <c r="BC82">
        <v>25</v>
      </c>
      <c r="BD82">
        <v>30</v>
      </c>
      <c r="BE82">
        <v>35</v>
      </c>
      <c r="BF82">
        <v>100</v>
      </c>
      <c r="BG82" s="26"/>
      <c r="BH82" s="26"/>
      <c r="BI82" s="26"/>
      <c r="BJ82" s="26"/>
      <c r="BK82" s="26"/>
      <c r="BL82" s="26"/>
      <c r="BM82" s="26"/>
      <c r="BN82" s="26"/>
      <c r="BO82" s="26"/>
      <c r="BP82" s="26"/>
      <c r="BQ82" s="26"/>
      <c r="BR82" s="26"/>
      <c r="BS82" s="26"/>
      <c r="BT82" s="26"/>
      <c r="BU82" s="26"/>
      <c r="BV82" s="26"/>
      <c r="BW82" s="26"/>
      <c r="BX82" s="26"/>
      <c r="BY82" s="26"/>
      <c r="BZ82" s="26"/>
      <c r="CA82" s="26"/>
      <c r="CB82" s="26"/>
      <c r="CC82" s="26"/>
      <c r="CD82" s="26"/>
      <c r="CE82" s="26"/>
      <c r="CF82" s="26"/>
      <c r="CG82" s="26"/>
      <c r="CH82" s="26"/>
      <c r="CI82" s="26"/>
      <c r="CJ82" s="26"/>
      <c r="CK82" s="26"/>
      <c r="CL82" s="26"/>
      <c r="CM82" s="26"/>
      <c r="CN82" s="26"/>
      <c r="CO82" s="26"/>
      <c r="CP82" s="26"/>
      <c r="CQ82" s="26"/>
      <c r="CR82" s="26"/>
      <c r="CS82" s="26"/>
      <c r="CT82" s="26"/>
      <c r="CU82" s="26"/>
      <c r="CV82" s="26"/>
      <c r="CW82" s="26"/>
      <c r="CX82" s="26"/>
      <c r="CY82" s="26"/>
      <c r="CZ82" s="26"/>
      <c r="DA82" s="26"/>
      <c r="DB82" s="26"/>
      <c r="DC82" s="26"/>
      <c r="DD82" s="26"/>
    </row>
    <row r="83" spans="8:108" x14ac:dyDescent="0.2">
      <c r="H83" s="27">
        <f t="shared" si="1"/>
        <v>81</v>
      </c>
      <c r="I83">
        <v>20</v>
      </c>
      <c r="J83">
        <v>35</v>
      </c>
      <c r="K83">
        <v>200</v>
      </c>
      <c r="L83">
        <v>80</v>
      </c>
      <c r="M83">
        <v>70</v>
      </c>
      <c r="N83">
        <v>70</v>
      </c>
      <c r="O83">
        <v>35</v>
      </c>
      <c r="P83">
        <v>100</v>
      </c>
      <c r="Q83">
        <v>20</v>
      </c>
      <c r="R83">
        <v>120</v>
      </c>
      <c r="S83">
        <v>25</v>
      </c>
      <c r="T83">
        <v>120</v>
      </c>
      <c r="U83">
        <v>20</v>
      </c>
      <c r="V83">
        <v>96</v>
      </c>
      <c r="W83">
        <v>168</v>
      </c>
      <c r="X83">
        <v>35</v>
      </c>
      <c r="Y83">
        <v>30</v>
      </c>
      <c r="Z83">
        <v>42</v>
      </c>
      <c r="AA83">
        <v>42</v>
      </c>
      <c r="AB83">
        <v>200</v>
      </c>
      <c r="AC83">
        <v>35</v>
      </c>
      <c r="AD83">
        <v>24</v>
      </c>
      <c r="AE83">
        <v>24</v>
      </c>
      <c r="AF83">
        <v>50</v>
      </c>
      <c r="AG83">
        <v>42</v>
      </c>
      <c r="AH83">
        <v>120</v>
      </c>
      <c r="AI83">
        <v>140</v>
      </c>
      <c r="AJ83">
        <v>200</v>
      </c>
      <c r="AK83">
        <v>42</v>
      </c>
      <c r="AL83">
        <v>42</v>
      </c>
      <c r="AM83">
        <v>50</v>
      </c>
      <c r="AN83">
        <v>96</v>
      </c>
      <c r="AO83">
        <v>70</v>
      </c>
      <c r="AP83">
        <v>80</v>
      </c>
      <c r="AQ83">
        <v>42</v>
      </c>
      <c r="AR83">
        <v>60</v>
      </c>
      <c r="AS83">
        <v>35</v>
      </c>
      <c r="AT83">
        <v>120</v>
      </c>
      <c r="AU83">
        <v>20</v>
      </c>
      <c r="AV83">
        <v>200</v>
      </c>
      <c r="AW83">
        <v>80</v>
      </c>
      <c r="AX83">
        <v>168</v>
      </c>
      <c r="AY83">
        <v>42</v>
      </c>
      <c r="AZ83">
        <v>35</v>
      </c>
      <c r="BA83">
        <v>20</v>
      </c>
      <c r="BB83">
        <v>24</v>
      </c>
      <c r="BC83">
        <v>120</v>
      </c>
      <c r="BD83">
        <v>25</v>
      </c>
      <c r="BE83">
        <v>168</v>
      </c>
      <c r="BF83">
        <v>42</v>
      </c>
      <c r="BG83" s="26"/>
      <c r="BH83" s="26"/>
      <c r="BI83" s="26"/>
      <c r="BJ83" s="26"/>
      <c r="BK83" s="26"/>
      <c r="BL83" s="26"/>
      <c r="BM83" s="26"/>
      <c r="BN83" s="26"/>
      <c r="BO83" s="26"/>
      <c r="BP83" s="26"/>
      <c r="BQ83" s="26"/>
      <c r="BR83" s="26"/>
      <c r="BS83" s="26"/>
      <c r="BT83" s="26"/>
      <c r="BU83" s="26"/>
      <c r="BV83" s="26"/>
      <c r="BW83" s="26"/>
      <c r="BX83" s="26"/>
      <c r="BY83" s="26"/>
      <c r="BZ83" s="26"/>
      <c r="CA83" s="26"/>
      <c r="CB83" s="26"/>
      <c r="CC83" s="26"/>
      <c r="CD83" s="26"/>
      <c r="CE83" s="26"/>
      <c r="CF83" s="26"/>
      <c r="CG83" s="26"/>
      <c r="CH83" s="26"/>
      <c r="CI83" s="26"/>
      <c r="CJ83" s="26"/>
      <c r="CK83" s="26"/>
      <c r="CL83" s="26"/>
      <c r="CM83" s="26"/>
      <c r="CN83" s="26"/>
      <c r="CO83" s="26"/>
      <c r="CP83" s="26"/>
      <c r="CQ83" s="26"/>
      <c r="CR83" s="26"/>
      <c r="CS83" s="26"/>
      <c r="CT83" s="26"/>
      <c r="CU83" s="26"/>
      <c r="CV83" s="26"/>
      <c r="CW83" s="26"/>
      <c r="CX83" s="26"/>
      <c r="CY83" s="26"/>
      <c r="CZ83" s="26"/>
      <c r="DA83" s="26"/>
      <c r="DB83" s="26"/>
      <c r="DC83" s="26"/>
      <c r="DD83" s="26"/>
    </row>
    <row r="84" spans="8:108" x14ac:dyDescent="0.2">
      <c r="H84" s="27">
        <f t="shared" si="1"/>
        <v>82</v>
      </c>
      <c r="I84">
        <v>96</v>
      </c>
      <c r="J84">
        <v>25</v>
      </c>
      <c r="K84">
        <v>35</v>
      </c>
      <c r="L84">
        <v>120</v>
      </c>
      <c r="M84">
        <v>120</v>
      </c>
      <c r="N84">
        <v>168</v>
      </c>
      <c r="O84">
        <v>25</v>
      </c>
      <c r="P84">
        <v>100</v>
      </c>
      <c r="Q84">
        <v>96</v>
      </c>
      <c r="R84">
        <v>100</v>
      </c>
      <c r="S84">
        <v>80</v>
      </c>
      <c r="T84">
        <v>96</v>
      </c>
      <c r="U84">
        <v>140</v>
      </c>
      <c r="V84">
        <v>25</v>
      </c>
      <c r="W84">
        <v>140</v>
      </c>
      <c r="X84">
        <v>35</v>
      </c>
      <c r="Y84">
        <v>35</v>
      </c>
      <c r="Z84">
        <v>42</v>
      </c>
      <c r="AA84">
        <v>60</v>
      </c>
      <c r="AB84">
        <v>42</v>
      </c>
      <c r="AC84">
        <v>140</v>
      </c>
      <c r="AD84">
        <v>100</v>
      </c>
      <c r="AE84">
        <v>20</v>
      </c>
      <c r="AF84">
        <v>42</v>
      </c>
      <c r="AG84">
        <v>80</v>
      </c>
      <c r="AH84">
        <v>24</v>
      </c>
      <c r="AI84">
        <v>100</v>
      </c>
      <c r="AJ84">
        <v>96</v>
      </c>
      <c r="AK84">
        <v>20</v>
      </c>
      <c r="AL84">
        <v>42</v>
      </c>
      <c r="AM84">
        <v>20</v>
      </c>
      <c r="AN84">
        <v>20</v>
      </c>
      <c r="AO84">
        <v>84</v>
      </c>
      <c r="AP84">
        <v>120</v>
      </c>
      <c r="AQ84">
        <v>30</v>
      </c>
      <c r="AR84">
        <v>42</v>
      </c>
      <c r="AS84">
        <v>25</v>
      </c>
      <c r="AT84">
        <v>168</v>
      </c>
      <c r="AU84">
        <v>30</v>
      </c>
      <c r="AV84">
        <v>80</v>
      </c>
      <c r="AW84">
        <v>200</v>
      </c>
      <c r="AX84">
        <v>35</v>
      </c>
      <c r="AY84">
        <v>20</v>
      </c>
      <c r="AZ84">
        <v>20</v>
      </c>
      <c r="BA84">
        <v>25</v>
      </c>
      <c r="BB84">
        <v>35</v>
      </c>
      <c r="BC84">
        <v>42</v>
      </c>
      <c r="BD84">
        <v>35</v>
      </c>
      <c r="BE84">
        <v>168</v>
      </c>
      <c r="BF84">
        <v>20</v>
      </c>
      <c r="BG84" s="26"/>
      <c r="BH84" s="26"/>
      <c r="BI84" s="26"/>
      <c r="BJ84" s="26"/>
      <c r="BK84" s="26"/>
      <c r="BL84" s="26"/>
      <c r="BM84" s="26"/>
      <c r="BN84" s="26"/>
      <c r="BO84" s="26"/>
      <c r="BP84" s="26"/>
      <c r="BQ84" s="26"/>
      <c r="BR84" s="26"/>
      <c r="BS84" s="26"/>
      <c r="BT84" s="26"/>
      <c r="BU84" s="26"/>
      <c r="BV84" s="26"/>
      <c r="BW84" s="26"/>
      <c r="BX84" s="26"/>
      <c r="BY84" s="26"/>
      <c r="BZ84" s="26"/>
      <c r="CA84" s="26"/>
      <c r="CB84" s="26"/>
      <c r="CC84" s="26"/>
      <c r="CD84" s="26"/>
      <c r="CE84" s="26"/>
      <c r="CF84" s="26"/>
      <c r="CG84" s="26"/>
      <c r="CH84" s="26"/>
      <c r="CI84" s="26"/>
      <c r="CJ84" s="26"/>
      <c r="CK84" s="26"/>
      <c r="CL84" s="26"/>
      <c r="CM84" s="26"/>
      <c r="CN84" s="26"/>
      <c r="CO84" s="26"/>
      <c r="CP84" s="26"/>
      <c r="CQ84" s="26"/>
      <c r="CR84" s="26"/>
      <c r="CS84" s="26"/>
      <c r="CT84" s="26"/>
      <c r="CU84" s="26"/>
      <c r="CV84" s="26"/>
      <c r="CW84" s="26"/>
      <c r="CX84" s="26"/>
      <c r="CY84" s="26"/>
      <c r="CZ84" s="26"/>
      <c r="DA84" s="26"/>
      <c r="DB84" s="26"/>
      <c r="DC84" s="26"/>
      <c r="DD84" s="26"/>
    </row>
    <row r="85" spans="8:108" x14ac:dyDescent="0.2">
      <c r="H85" s="27">
        <f t="shared" si="1"/>
        <v>83</v>
      </c>
      <c r="I85">
        <v>35</v>
      </c>
      <c r="J85">
        <v>42</v>
      </c>
      <c r="K85">
        <v>20</v>
      </c>
      <c r="L85">
        <v>70</v>
      </c>
      <c r="M85">
        <v>35</v>
      </c>
      <c r="N85">
        <v>20</v>
      </c>
      <c r="O85">
        <v>84</v>
      </c>
      <c r="P85">
        <v>140</v>
      </c>
      <c r="Q85">
        <v>42</v>
      </c>
      <c r="R85">
        <v>84</v>
      </c>
      <c r="S85">
        <v>25</v>
      </c>
      <c r="T85">
        <v>24</v>
      </c>
      <c r="U85">
        <v>84</v>
      </c>
      <c r="V85">
        <v>35</v>
      </c>
      <c r="W85">
        <v>24</v>
      </c>
      <c r="X85">
        <v>25</v>
      </c>
      <c r="Y85">
        <v>80</v>
      </c>
      <c r="Z85">
        <v>35</v>
      </c>
      <c r="AA85">
        <v>140</v>
      </c>
      <c r="AB85">
        <v>35</v>
      </c>
      <c r="AC85">
        <v>24</v>
      </c>
      <c r="AD85">
        <v>42</v>
      </c>
      <c r="AE85">
        <v>20</v>
      </c>
      <c r="AF85">
        <v>100</v>
      </c>
      <c r="AG85">
        <v>20</v>
      </c>
      <c r="AH85">
        <v>35</v>
      </c>
      <c r="AI85">
        <v>24</v>
      </c>
      <c r="AJ85">
        <v>50</v>
      </c>
      <c r="AK85">
        <v>84</v>
      </c>
      <c r="AL85">
        <v>20</v>
      </c>
      <c r="AM85">
        <v>20</v>
      </c>
      <c r="AN85">
        <v>24</v>
      </c>
      <c r="AO85">
        <v>120</v>
      </c>
      <c r="AP85">
        <v>35</v>
      </c>
      <c r="AQ85">
        <v>20</v>
      </c>
      <c r="AR85">
        <v>25</v>
      </c>
      <c r="AS85">
        <v>42</v>
      </c>
      <c r="AT85">
        <v>120</v>
      </c>
      <c r="AU85">
        <v>100</v>
      </c>
      <c r="AV85">
        <v>20</v>
      </c>
      <c r="AW85">
        <v>100</v>
      </c>
      <c r="AX85">
        <v>25</v>
      </c>
      <c r="AY85">
        <v>30</v>
      </c>
      <c r="AZ85">
        <v>35</v>
      </c>
      <c r="BA85">
        <v>100</v>
      </c>
      <c r="BB85">
        <v>20</v>
      </c>
      <c r="BC85">
        <v>100</v>
      </c>
      <c r="BD85">
        <v>100</v>
      </c>
      <c r="BE85">
        <v>100</v>
      </c>
      <c r="BF85">
        <v>100</v>
      </c>
      <c r="BG85" s="26"/>
      <c r="BH85" s="26"/>
      <c r="BI85" s="26"/>
      <c r="BJ85" s="26"/>
      <c r="BK85" s="26"/>
      <c r="BL85" s="26"/>
      <c r="BM85" s="26"/>
      <c r="BN85" s="26"/>
      <c r="BO85" s="26"/>
      <c r="BP85" s="26"/>
      <c r="BQ85" s="26"/>
      <c r="BR85" s="26"/>
      <c r="BS85" s="26"/>
      <c r="BT85" s="26"/>
      <c r="BU85" s="26"/>
      <c r="BV85" s="26"/>
      <c r="BW85" s="26"/>
      <c r="BX85" s="26"/>
      <c r="BY85" s="26"/>
      <c r="BZ85" s="26"/>
      <c r="CA85" s="26"/>
      <c r="CB85" s="26"/>
      <c r="CC85" s="26"/>
      <c r="CD85" s="26"/>
      <c r="CE85" s="26"/>
      <c r="CF85" s="26"/>
      <c r="CG85" s="26"/>
      <c r="CH85" s="26"/>
      <c r="CI85" s="26"/>
      <c r="CJ85" s="26"/>
      <c r="CK85" s="26"/>
      <c r="CL85" s="26"/>
      <c r="CM85" s="26"/>
      <c r="CN85" s="26"/>
      <c r="CO85" s="26"/>
      <c r="CP85" s="26"/>
      <c r="CQ85" s="26"/>
      <c r="CR85" s="26"/>
      <c r="CS85" s="26"/>
      <c r="CT85" s="26"/>
      <c r="CU85" s="26"/>
      <c r="CV85" s="26"/>
      <c r="CW85" s="26"/>
      <c r="CX85" s="26"/>
      <c r="CY85" s="26"/>
      <c r="CZ85" s="26"/>
      <c r="DA85" s="26"/>
      <c r="DB85" s="26"/>
      <c r="DC85" s="26"/>
      <c r="DD85" s="26"/>
    </row>
    <row r="86" spans="8:108" x14ac:dyDescent="0.2">
      <c r="H86" s="27">
        <f t="shared" si="1"/>
        <v>84</v>
      </c>
      <c r="I86">
        <v>20</v>
      </c>
      <c r="J86">
        <v>20</v>
      </c>
      <c r="K86">
        <v>25</v>
      </c>
      <c r="L86">
        <v>35</v>
      </c>
      <c r="M86">
        <v>35</v>
      </c>
      <c r="N86">
        <v>35</v>
      </c>
      <c r="O86">
        <v>42</v>
      </c>
      <c r="P86">
        <v>100</v>
      </c>
      <c r="Q86">
        <v>42</v>
      </c>
      <c r="R86">
        <v>35</v>
      </c>
      <c r="S86">
        <v>140</v>
      </c>
      <c r="T86">
        <v>35</v>
      </c>
      <c r="U86">
        <v>42</v>
      </c>
      <c r="V86">
        <v>42</v>
      </c>
      <c r="W86">
        <v>35</v>
      </c>
      <c r="X86">
        <v>72</v>
      </c>
      <c r="Y86">
        <v>30</v>
      </c>
      <c r="Z86">
        <v>42</v>
      </c>
      <c r="AA86">
        <v>20</v>
      </c>
      <c r="AB86">
        <v>42</v>
      </c>
      <c r="AC86">
        <v>100</v>
      </c>
      <c r="AD86">
        <v>140</v>
      </c>
      <c r="AE86">
        <v>30</v>
      </c>
      <c r="AF86">
        <v>20</v>
      </c>
      <c r="AG86">
        <v>42</v>
      </c>
      <c r="AH86">
        <v>96</v>
      </c>
      <c r="AI86">
        <v>35</v>
      </c>
      <c r="AJ86">
        <v>100</v>
      </c>
      <c r="AK86">
        <v>100</v>
      </c>
      <c r="AL86">
        <v>120</v>
      </c>
      <c r="AM86">
        <v>25</v>
      </c>
      <c r="AN86">
        <v>35</v>
      </c>
      <c r="AO86">
        <v>30</v>
      </c>
      <c r="AP86">
        <v>100</v>
      </c>
      <c r="AQ86">
        <v>35</v>
      </c>
      <c r="AR86">
        <v>60</v>
      </c>
      <c r="AS86">
        <v>30</v>
      </c>
      <c r="AT86">
        <v>120</v>
      </c>
      <c r="AU86">
        <v>140</v>
      </c>
      <c r="AV86">
        <v>20</v>
      </c>
      <c r="AW86">
        <v>96</v>
      </c>
      <c r="AX86">
        <v>140</v>
      </c>
      <c r="AY86">
        <v>60</v>
      </c>
      <c r="AZ86">
        <v>80</v>
      </c>
      <c r="BA86">
        <v>25</v>
      </c>
      <c r="BB86">
        <v>35</v>
      </c>
      <c r="BC86">
        <v>168</v>
      </c>
      <c r="BD86">
        <v>100</v>
      </c>
      <c r="BE86">
        <v>35</v>
      </c>
      <c r="BF86">
        <v>35</v>
      </c>
      <c r="BG86" s="26"/>
      <c r="BH86" s="26"/>
      <c r="BI86" s="26"/>
      <c r="BJ86" s="26"/>
      <c r="BK86" s="26"/>
      <c r="BL86" s="26"/>
      <c r="BM86" s="26"/>
      <c r="BN86" s="26"/>
      <c r="BO86" s="26"/>
      <c r="BP86" s="26"/>
      <c r="BQ86" s="26"/>
      <c r="BR86" s="26"/>
      <c r="BS86" s="26"/>
      <c r="BT86" s="26"/>
      <c r="BU86" s="26"/>
      <c r="BV86" s="26"/>
      <c r="BW86" s="26"/>
      <c r="BX86" s="26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K86" s="26"/>
      <c r="CL86" s="26"/>
      <c r="CM86" s="26"/>
      <c r="CN86" s="26"/>
      <c r="CO86" s="26"/>
      <c r="CP86" s="26"/>
      <c r="CQ86" s="26"/>
      <c r="CR86" s="26"/>
      <c r="CS86" s="26"/>
      <c r="CT86" s="26"/>
      <c r="CU86" s="26"/>
      <c r="CV86" s="26"/>
      <c r="CW86" s="26"/>
      <c r="CX86" s="26"/>
      <c r="CY86" s="26"/>
      <c r="CZ86" s="26"/>
      <c r="DA86" s="26"/>
      <c r="DB86" s="26"/>
      <c r="DC86" s="26"/>
      <c r="DD86" s="26"/>
    </row>
    <row r="87" spans="8:108" x14ac:dyDescent="0.2">
      <c r="H87" s="27">
        <f t="shared" si="1"/>
        <v>85</v>
      </c>
      <c r="I87">
        <v>42</v>
      </c>
      <c r="J87">
        <v>200</v>
      </c>
      <c r="K87">
        <v>24</v>
      </c>
      <c r="L87">
        <v>24</v>
      </c>
      <c r="M87">
        <v>42</v>
      </c>
      <c r="N87">
        <v>42</v>
      </c>
      <c r="O87">
        <v>42</v>
      </c>
      <c r="P87">
        <v>24</v>
      </c>
      <c r="Q87">
        <v>35</v>
      </c>
      <c r="R87">
        <v>35</v>
      </c>
      <c r="S87">
        <v>20</v>
      </c>
      <c r="T87">
        <v>24</v>
      </c>
      <c r="U87">
        <v>24</v>
      </c>
      <c r="V87">
        <v>20</v>
      </c>
      <c r="W87">
        <v>42</v>
      </c>
      <c r="X87">
        <v>120</v>
      </c>
      <c r="Y87">
        <v>25</v>
      </c>
      <c r="Z87">
        <v>168</v>
      </c>
      <c r="AA87">
        <v>100</v>
      </c>
      <c r="AB87">
        <v>35</v>
      </c>
      <c r="AC87">
        <v>35</v>
      </c>
      <c r="AD87">
        <v>120</v>
      </c>
      <c r="AE87">
        <v>35</v>
      </c>
      <c r="AF87">
        <v>70</v>
      </c>
      <c r="AG87">
        <v>70</v>
      </c>
      <c r="AH87">
        <v>30</v>
      </c>
      <c r="AI87">
        <v>35</v>
      </c>
      <c r="AJ87">
        <v>20</v>
      </c>
      <c r="AK87">
        <v>24</v>
      </c>
      <c r="AL87">
        <v>80</v>
      </c>
      <c r="AM87">
        <v>24</v>
      </c>
      <c r="AN87">
        <v>20</v>
      </c>
      <c r="AO87">
        <v>42</v>
      </c>
      <c r="AP87">
        <v>84</v>
      </c>
      <c r="AQ87">
        <v>35</v>
      </c>
      <c r="AR87">
        <v>30</v>
      </c>
      <c r="AS87">
        <v>120</v>
      </c>
      <c r="AT87">
        <v>100</v>
      </c>
      <c r="AU87">
        <v>100</v>
      </c>
      <c r="AV87">
        <v>80</v>
      </c>
      <c r="AW87">
        <v>100</v>
      </c>
      <c r="AX87">
        <v>42</v>
      </c>
      <c r="AY87">
        <v>42</v>
      </c>
      <c r="AZ87">
        <v>42</v>
      </c>
      <c r="BA87">
        <v>35</v>
      </c>
      <c r="BB87">
        <v>35</v>
      </c>
      <c r="BC87">
        <v>42</v>
      </c>
      <c r="BD87">
        <v>96</v>
      </c>
      <c r="BE87">
        <v>20</v>
      </c>
      <c r="BF87">
        <v>200</v>
      </c>
      <c r="BG87" s="26"/>
      <c r="BH87" s="26"/>
      <c r="BI87" s="26"/>
      <c r="BJ87" s="26"/>
      <c r="BK87" s="26"/>
      <c r="BL87" s="26"/>
      <c r="BM87" s="26"/>
      <c r="BN87" s="26"/>
      <c r="BO87" s="26"/>
      <c r="BP87" s="26"/>
      <c r="BQ87" s="26"/>
      <c r="BR87" s="26"/>
      <c r="BS87" s="26"/>
      <c r="BT87" s="26"/>
      <c r="BU87" s="26"/>
      <c r="BV87" s="26"/>
      <c r="BW87" s="26"/>
      <c r="BX87" s="26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K87" s="26"/>
      <c r="CL87" s="26"/>
      <c r="CM87" s="26"/>
      <c r="CN87" s="26"/>
      <c r="CO87" s="26"/>
      <c r="CP87" s="26"/>
      <c r="CQ87" s="26"/>
      <c r="CR87" s="26"/>
      <c r="CS87" s="26"/>
      <c r="CT87" s="26"/>
      <c r="CU87" s="26"/>
      <c r="CV87" s="26"/>
      <c r="CW87" s="26"/>
      <c r="CX87" s="26"/>
      <c r="CY87" s="26"/>
      <c r="CZ87" s="26"/>
      <c r="DA87" s="26"/>
      <c r="DB87" s="26"/>
      <c r="DC87" s="26"/>
      <c r="DD87" s="26"/>
    </row>
    <row r="88" spans="8:108" x14ac:dyDescent="0.2">
      <c r="H88" s="27">
        <f t="shared" si="1"/>
        <v>86</v>
      </c>
      <c r="I88">
        <v>42</v>
      </c>
      <c r="J88">
        <v>140</v>
      </c>
      <c r="K88">
        <v>24</v>
      </c>
      <c r="L88">
        <v>24</v>
      </c>
      <c r="M88">
        <v>100</v>
      </c>
      <c r="N88">
        <v>70</v>
      </c>
      <c r="O88">
        <v>20</v>
      </c>
      <c r="P88">
        <v>70</v>
      </c>
      <c r="Q88">
        <v>80</v>
      </c>
      <c r="R88">
        <v>35</v>
      </c>
      <c r="S88">
        <v>35</v>
      </c>
      <c r="T88">
        <v>80</v>
      </c>
      <c r="U88">
        <v>42</v>
      </c>
      <c r="V88">
        <v>6</v>
      </c>
      <c r="W88">
        <v>30</v>
      </c>
      <c r="X88">
        <v>25</v>
      </c>
      <c r="Y88">
        <v>60</v>
      </c>
      <c r="Z88">
        <v>80</v>
      </c>
      <c r="AA88">
        <v>42</v>
      </c>
      <c r="AB88">
        <v>30</v>
      </c>
      <c r="AC88">
        <v>6</v>
      </c>
      <c r="AD88">
        <v>35</v>
      </c>
      <c r="AE88">
        <v>20</v>
      </c>
      <c r="AF88">
        <v>35</v>
      </c>
      <c r="AG88">
        <v>35</v>
      </c>
      <c r="AH88">
        <v>50</v>
      </c>
      <c r="AI88">
        <v>120</v>
      </c>
      <c r="AJ88">
        <v>120</v>
      </c>
      <c r="AK88">
        <v>30</v>
      </c>
      <c r="AL88">
        <v>96</v>
      </c>
      <c r="AM88">
        <v>200</v>
      </c>
      <c r="AN88">
        <v>35</v>
      </c>
      <c r="AO88">
        <v>20</v>
      </c>
      <c r="AP88">
        <v>35</v>
      </c>
      <c r="AQ88">
        <v>168</v>
      </c>
      <c r="AR88">
        <v>42</v>
      </c>
      <c r="AS88">
        <v>30</v>
      </c>
      <c r="AT88">
        <v>100</v>
      </c>
      <c r="AU88">
        <v>42</v>
      </c>
      <c r="AV88">
        <v>35</v>
      </c>
      <c r="AW88">
        <v>24</v>
      </c>
      <c r="AX88">
        <v>20</v>
      </c>
      <c r="AY88">
        <v>30</v>
      </c>
      <c r="AZ88">
        <v>42</v>
      </c>
      <c r="BA88">
        <v>120</v>
      </c>
      <c r="BB88">
        <v>20</v>
      </c>
      <c r="BC88">
        <v>35</v>
      </c>
      <c r="BD88">
        <v>96</v>
      </c>
      <c r="BE88">
        <v>35</v>
      </c>
      <c r="BF88">
        <v>120</v>
      </c>
      <c r="BG88" s="26"/>
      <c r="BH88" s="26"/>
      <c r="BI88" s="26"/>
      <c r="BJ88" s="26"/>
      <c r="BK88" s="26"/>
      <c r="BL88" s="26"/>
      <c r="BM88" s="26"/>
      <c r="BN88" s="26"/>
      <c r="BO88" s="26"/>
      <c r="BP88" s="26"/>
      <c r="BQ88" s="26"/>
      <c r="BR88" s="26"/>
      <c r="BS88" s="26"/>
      <c r="BT88" s="26"/>
      <c r="BU88" s="26"/>
      <c r="BV88" s="26"/>
      <c r="BW88" s="26"/>
      <c r="BX88" s="26"/>
      <c r="BY88" s="26"/>
      <c r="BZ88" s="26"/>
      <c r="CA88" s="26"/>
      <c r="CB88" s="26"/>
      <c r="CC88" s="26"/>
      <c r="CD88" s="26"/>
      <c r="CE88" s="26"/>
      <c r="CF88" s="26"/>
      <c r="CG88" s="26"/>
      <c r="CH88" s="26"/>
      <c r="CI88" s="26"/>
      <c r="CJ88" s="26"/>
      <c r="CK88" s="26"/>
      <c r="CL88" s="26"/>
      <c r="CM88" s="26"/>
      <c r="CN88" s="26"/>
      <c r="CO88" s="26"/>
      <c r="CP88" s="26"/>
      <c r="CQ88" s="26"/>
      <c r="CR88" s="26"/>
      <c r="CS88" s="26"/>
      <c r="CT88" s="26"/>
      <c r="CU88" s="26"/>
      <c r="CV88" s="26"/>
      <c r="CW88" s="26"/>
      <c r="CX88" s="26"/>
      <c r="CY88" s="26"/>
      <c r="CZ88" s="26"/>
      <c r="DA88" s="26"/>
      <c r="DB88" s="26"/>
      <c r="DC88" s="26"/>
      <c r="DD88" s="26"/>
    </row>
    <row r="89" spans="8:108" x14ac:dyDescent="0.2">
      <c r="H89" s="27">
        <f t="shared" si="1"/>
        <v>87</v>
      </c>
      <c r="I89">
        <v>35</v>
      </c>
      <c r="J89">
        <v>25</v>
      </c>
      <c r="K89">
        <v>42</v>
      </c>
      <c r="L89">
        <v>20</v>
      </c>
      <c r="M89">
        <v>80</v>
      </c>
      <c r="N89">
        <v>100</v>
      </c>
      <c r="O89">
        <v>25</v>
      </c>
      <c r="P89">
        <v>120</v>
      </c>
      <c r="Q89">
        <v>140</v>
      </c>
      <c r="R89">
        <v>96</v>
      </c>
      <c r="S89">
        <v>168</v>
      </c>
      <c r="T89">
        <v>25</v>
      </c>
      <c r="U89">
        <v>42</v>
      </c>
      <c r="V89">
        <v>35</v>
      </c>
      <c r="W89">
        <v>42</v>
      </c>
      <c r="X89">
        <v>70</v>
      </c>
      <c r="Y89">
        <v>5</v>
      </c>
      <c r="Z89">
        <v>20</v>
      </c>
      <c r="AA89">
        <v>70</v>
      </c>
      <c r="AB89">
        <v>70</v>
      </c>
      <c r="AC89">
        <v>120</v>
      </c>
      <c r="AD89">
        <v>42</v>
      </c>
      <c r="AE89">
        <v>35</v>
      </c>
      <c r="AF89">
        <v>42</v>
      </c>
      <c r="AG89">
        <v>42</v>
      </c>
      <c r="AH89">
        <v>100</v>
      </c>
      <c r="AI89">
        <v>120</v>
      </c>
      <c r="AJ89">
        <v>35</v>
      </c>
      <c r="AK89">
        <v>35</v>
      </c>
      <c r="AL89">
        <v>96</v>
      </c>
      <c r="AM89">
        <v>42</v>
      </c>
      <c r="AN89">
        <v>80</v>
      </c>
      <c r="AO89">
        <v>96</v>
      </c>
      <c r="AP89">
        <v>100</v>
      </c>
      <c r="AQ89">
        <v>20</v>
      </c>
      <c r="AR89">
        <v>42</v>
      </c>
      <c r="AS89">
        <v>96</v>
      </c>
      <c r="AT89">
        <v>20</v>
      </c>
      <c r="AU89">
        <v>96</v>
      </c>
      <c r="AV89">
        <v>25</v>
      </c>
      <c r="AW89">
        <v>20</v>
      </c>
      <c r="AX89">
        <v>25</v>
      </c>
      <c r="AY89">
        <v>100</v>
      </c>
      <c r="AZ89">
        <v>20</v>
      </c>
      <c r="BA89">
        <v>100</v>
      </c>
      <c r="BB89">
        <v>35</v>
      </c>
      <c r="BC89">
        <v>70</v>
      </c>
      <c r="BD89">
        <v>140</v>
      </c>
      <c r="BE89">
        <v>35</v>
      </c>
      <c r="BF89">
        <v>25</v>
      </c>
      <c r="BG89" s="26"/>
      <c r="BH89" s="26"/>
      <c r="BI89" s="26"/>
      <c r="BJ89" s="26"/>
      <c r="BK89" s="26"/>
      <c r="BL89" s="26"/>
      <c r="BM89" s="26"/>
      <c r="BN89" s="26"/>
      <c r="BO89" s="26"/>
      <c r="BP89" s="26"/>
      <c r="BQ89" s="26"/>
      <c r="BR89" s="26"/>
      <c r="BS89" s="26"/>
      <c r="BT89" s="26"/>
      <c r="BU89" s="26"/>
      <c r="BV89" s="26"/>
      <c r="BW89" s="26"/>
      <c r="BX89" s="26"/>
      <c r="BY89" s="26"/>
      <c r="BZ89" s="26"/>
      <c r="CA89" s="26"/>
      <c r="CB89" s="26"/>
      <c r="CC89" s="26"/>
      <c r="CD89" s="26"/>
      <c r="CE89" s="26"/>
      <c r="CF89" s="26"/>
      <c r="CG89" s="26"/>
      <c r="CH89" s="26"/>
      <c r="CI89" s="26"/>
      <c r="CJ89" s="26"/>
      <c r="CK89" s="26"/>
      <c r="CL89" s="26"/>
      <c r="CM89" s="26"/>
      <c r="CN89" s="26"/>
      <c r="CO89" s="26"/>
      <c r="CP89" s="26"/>
      <c r="CQ89" s="26"/>
      <c r="CR89" s="26"/>
      <c r="CS89" s="26"/>
      <c r="CT89" s="26"/>
      <c r="CU89" s="26"/>
      <c r="CV89" s="26"/>
      <c r="CW89" s="26"/>
      <c r="CX89" s="26"/>
      <c r="CY89" s="26"/>
      <c r="CZ89" s="26"/>
      <c r="DA89" s="26"/>
      <c r="DB89" s="26"/>
      <c r="DC89" s="26"/>
      <c r="DD89" s="26"/>
    </row>
    <row r="90" spans="8:108" x14ac:dyDescent="0.2">
      <c r="H90" s="27">
        <f t="shared" si="1"/>
        <v>88</v>
      </c>
      <c r="I90">
        <v>42</v>
      </c>
      <c r="J90">
        <v>70</v>
      </c>
      <c r="K90">
        <v>25</v>
      </c>
      <c r="L90">
        <v>35</v>
      </c>
      <c r="M90">
        <v>35</v>
      </c>
      <c r="N90">
        <v>30</v>
      </c>
      <c r="O90">
        <v>80</v>
      </c>
      <c r="P90">
        <v>25</v>
      </c>
      <c r="Q90">
        <v>42</v>
      </c>
      <c r="R90">
        <v>140</v>
      </c>
      <c r="S90">
        <v>35</v>
      </c>
      <c r="T90">
        <v>120</v>
      </c>
      <c r="U90">
        <v>20</v>
      </c>
      <c r="V90">
        <v>42</v>
      </c>
      <c r="W90">
        <v>35</v>
      </c>
      <c r="X90">
        <v>20</v>
      </c>
      <c r="Y90">
        <v>70</v>
      </c>
      <c r="Z90">
        <v>25</v>
      </c>
      <c r="AA90">
        <v>35</v>
      </c>
      <c r="AB90">
        <v>25</v>
      </c>
      <c r="AC90">
        <v>70</v>
      </c>
      <c r="AD90">
        <v>24</v>
      </c>
      <c r="AE90">
        <v>120</v>
      </c>
      <c r="AF90">
        <v>120</v>
      </c>
      <c r="AG90">
        <v>42</v>
      </c>
      <c r="AH90">
        <v>42</v>
      </c>
      <c r="AI90">
        <v>100</v>
      </c>
      <c r="AJ90">
        <v>80</v>
      </c>
      <c r="AK90">
        <v>35</v>
      </c>
      <c r="AL90">
        <v>42</v>
      </c>
      <c r="AM90">
        <v>42</v>
      </c>
      <c r="AN90">
        <v>25</v>
      </c>
      <c r="AO90">
        <v>35</v>
      </c>
      <c r="AP90">
        <v>35</v>
      </c>
      <c r="AQ90">
        <v>140</v>
      </c>
      <c r="AR90">
        <v>25</v>
      </c>
      <c r="AS90">
        <v>120</v>
      </c>
      <c r="AT90">
        <v>42</v>
      </c>
      <c r="AU90">
        <v>35</v>
      </c>
      <c r="AV90">
        <v>35</v>
      </c>
      <c r="AW90">
        <v>100</v>
      </c>
      <c r="AX90">
        <v>96</v>
      </c>
      <c r="AY90">
        <v>120</v>
      </c>
      <c r="AZ90">
        <v>20</v>
      </c>
      <c r="BA90">
        <v>42</v>
      </c>
      <c r="BB90">
        <v>25</v>
      </c>
      <c r="BC90">
        <v>35</v>
      </c>
      <c r="BD90">
        <v>35</v>
      </c>
      <c r="BE90">
        <v>100</v>
      </c>
      <c r="BF90">
        <v>6</v>
      </c>
      <c r="BG90" s="26"/>
      <c r="BH90" s="26"/>
      <c r="BI90" s="26"/>
      <c r="BJ90" s="26"/>
      <c r="BK90" s="26"/>
      <c r="BL90" s="26"/>
      <c r="BM90" s="26"/>
      <c r="BN90" s="26"/>
      <c r="BO90" s="26"/>
      <c r="BP90" s="26"/>
      <c r="BQ90" s="26"/>
      <c r="BR90" s="26"/>
      <c r="BS90" s="26"/>
      <c r="BT90" s="26"/>
      <c r="BU90" s="26"/>
      <c r="BV90" s="26"/>
      <c r="BW90" s="26"/>
      <c r="BX90" s="26"/>
      <c r="BY90" s="26"/>
      <c r="BZ90" s="26"/>
      <c r="CA90" s="26"/>
      <c r="CB90" s="26"/>
      <c r="CC90" s="26"/>
      <c r="CD90" s="26"/>
      <c r="CE90" s="26"/>
      <c r="CF90" s="26"/>
      <c r="CG90" s="26"/>
      <c r="CH90" s="26"/>
      <c r="CI90" s="26"/>
      <c r="CJ90" s="26"/>
      <c r="CK90" s="26"/>
      <c r="CL90" s="26"/>
      <c r="CM90" s="26"/>
      <c r="CN90" s="26"/>
      <c r="CO90" s="26"/>
      <c r="CP90" s="26"/>
      <c r="CQ90" s="26"/>
      <c r="CR90" s="26"/>
      <c r="CS90" s="26"/>
      <c r="CT90" s="26"/>
      <c r="CU90" s="26"/>
      <c r="CV90" s="26"/>
      <c r="CW90" s="26"/>
      <c r="CX90" s="26"/>
      <c r="CY90" s="26"/>
      <c r="CZ90" s="26"/>
      <c r="DA90" s="26"/>
      <c r="DB90" s="26"/>
      <c r="DC90" s="26"/>
      <c r="DD90" s="26"/>
    </row>
    <row r="91" spans="8:108" x14ac:dyDescent="0.2">
      <c r="H91" s="27">
        <f t="shared" si="1"/>
        <v>89</v>
      </c>
      <c r="I91">
        <v>200</v>
      </c>
      <c r="J91">
        <v>80</v>
      </c>
      <c r="K91">
        <v>25</v>
      </c>
      <c r="L91">
        <v>140</v>
      </c>
      <c r="M91">
        <v>20</v>
      </c>
      <c r="N91">
        <v>35</v>
      </c>
      <c r="O91">
        <v>70</v>
      </c>
      <c r="P91">
        <v>70</v>
      </c>
      <c r="Q91">
        <v>42</v>
      </c>
      <c r="R91">
        <v>100</v>
      </c>
      <c r="S91">
        <v>80</v>
      </c>
      <c r="T91">
        <v>80</v>
      </c>
      <c r="U91">
        <v>20</v>
      </c>
      <c r="V91">
        <v>72</v>
      </c>
      <c r="W91">
        <v>20</v>
      </c>
      <c r="X91">
        <v>35</v>
      </c>
      <c r="Y91">
        <v>35</v>
      </c>
      <c r="Z91">
        <v>120</v>
      </c>
      <c r="AA91">
        <v>80</v>
      </c>
      <c r="AB91">
        <v>35</v>
      </c>
      <c r="AC91">
        <v>35</v>
      </c>
      <c r="AD91">
        <v>120</v>
      </c>
      <c r="AE91">
        <v>35</v>
      </c>
      <c r="AF91">
        <v>168</v>
      </c>
      <c r="AG91">
        <v>80</v>
      </c>
      <c r="AH91">
        <v>25</v>
      </c>
      <c r="AI91">
        <v>96</v>
      </c>
      <c r="AJ91">
        <v>30</v>
      </c>
      <c r="AK91">
        <v>35</v>
      </c>
      <c r="AL91">
        <v>24</v>
      </c>
      <c r="AM91">
        <v>24</v>
      </c>
      <c r="AN91">
        <v>42</v>
      </c>
      <c r="AO91">
        <v>168</v>
      </c>
      <c r="AP91">
        <v>24</v>
      </c>
      <c r="AQ91">
        <v>35</v>
      </c>
      <c r="AR91">
        <v>35</v>
      </c>
      <c r="AS91">
        <v>24</v>
      </c>
      <c r="AT91">
        <v>35</v>
      </c>
      <c r="AU91">
        <v>30</v>
      </c>
      <c r="AV91">
        <v>80</v>
      </c>
      <c r="AW91">
        <v>80</v>
      </c>
      <c r="AX91">
        <v>168</v>
      </c>
      <c r="AY91">
        <v>42</v>
      </c>
      <c r="AZ91">
        <v>100</v>
      </c>
      <c r="BA91">
        <v>35</v>
      </c>
      <c r="BB91">
        <v>100</v>
      </c>
      <c r="BC91">
        <v>100</v>
      </c>
      <c r="BD91">
        <v>35</v>
      </c>
      <c r="BE91">
        <v>20</v>
      </c>
      <c r="BF91">
        <v>80</v>
      </c>
      <c r="BG91" s="26"/>
      <c r="BH91" s="26"/>
      <c r="BI91" s="26"/>
      <c r="BJ91" s="26"/>
      <c r="BK91" s="26"/>
      <c r="BL91" s="26"/>
      <c r="BM91" s="26"/>
      <c r="BN91" s="26"/>
      <c r="BO91" s="26"/>
      <c r="BP91" s="26"/>
      <c r="BQ91" s="26"/>
      <c r="BR91" s="26"/>
      <c r="BS91" s="26"/>
      <c r="BT91" s="26"/>
      <c r="BU91" s="26"/>
      <c r="BV91" s="26"/>
      <c r="BW91" s="26"/>
      <c r="BX91" s="26"/>
      <c r="BY91" s="26"/>
      <c r="BZ91" s="26"/>
      <c r="CA91" s="26"/>
      <c r="CB91" s="26"/>
      <c r="CC91" s="26"/>
      <c r="CD91" s="26"/>
      <c r="CE91" s="26"/>
      <c r="CF91" s="26"/>
      <c r="CG91" s="26"/>
      <c r="CH91" s="26"/>
      <c r="CI91" s="26"/>
      <c r="CJ91" s="26"/>
      <c r="CK91" s="26"/>
      <c r="CL91" s="26"/>
      <c r="CM91" s="26"/>
      <c r="CN91" s="26"/>
      <c r="CO91" s="26"/>
      <c r="CP91" s="26"/>
      <c r="CQ91" s="26"/>
      <c r="CR91" s="26"/>
      <c r="CS91" s="26"/>
      <c r="CT91" s="26"/>
      <c r="CU91" s="26"/>
      <c r="CV91" s="26"/>
      <c r="CW91" s="26"/>
      <c r="CX91" s="26"/>
      <c r="CY91" s="26"/>
      <c r="CZ91" s="26"/>
      <c r="DA91" s="26"/>
      <c r="DB91" s="26"/>
      <c r="DC91" s="26"/>
      <c r="DD91" s="26"/>
    </row>
    <row r="92" spans="8:108" x14ac:dyDescent="0.2">
      <c r="H92" s="27">
        <f t="shared" si="1"/>
        <v>90</v>
      </c>
      <c r="I92">
        <v>35</v>
      </c>
      <c r="J92">
        <v>35</v>
      </c>
      <c r="K92">
        <v>25</v>
      </c>
      <c r="L92">
        <v>42</v>
      </c>
      <c r="M92">
        <v>25</v>
      </c>
      <c r="N92">
        <v>100</v>
      </c>
      <c r="O92">
        <v>30</v>
      </c>
      <c r="P92">
        <v>70</v>
      </c>
      <c r="Q92">
        <v>96</v>
      </c>
      <c r="R92">
        <v>20</v>
      </c>
      <c r="S92">
        <v>42</v>
      </c>
      <c r="T92">
        <v>35</v>
      </c>
      <c r="U92">
        <v>140</v>
      </c>
      <c r="V92">
        <v>35</v>
      </c>
      <c r="W92">
        <v>30</v>
      </c>
      <c r="X92">
        <v>42</v>
      </c>
      <c r="Y92">
        <v>84</v>
      </c>
      <c r="Z92">
        <v>20</v>
      </c>
      <c r="AA92">
        <v>35</v>
      </c>
      <c r="AB92">
        <v>35</v>
      </c>
      <c r="AC92">
        <v>140</v>
      </c>
      <c r="AD92">
        <v>80</v>
      </c>
      <c r="AE92">
        <v>120</v>
      </c>
      <c r="AF92">
        <v>24</v>
      </c>
      <c r="AG92">
        <v>96</v>
      </c>
      <c r="AH92">
        <v>140</v>
      </c>
      <c r="AI92">
        <v>80</v>
      </c>
      <c r="AJ92">
        <v>140</v>
      </c>
      <c r="AK92">
        <v>35</v>
      </c>
      <c r="AL92">
        <v>24</v>
      </c>
      <c r="AM92">
        <v>100</v>
      </c>
      <c r="AN92">
        <v>100</v>
      </c>
      <c r="AO92">
        <v>20</v>
      </c>
      <c r="AP92">
        <v>25</v>
      </c>
      <c r="AQ92">
        <v>100</v>
      </c>
      <c r="AR92">
        <v>96</v>
      </c>
      <c r="AS92">
        <v>24</v>
      </c>
      <c r="AT92">
        <v>25</v>
      </c>
      <c r="AU92">
        <v>240</v>
      </c>
      <c r="AV92">
        <v>50</v>
      </c>
      <c r="AW92">
        <v>30</v>
      </c>
      <c r="AX92">
        <v>70</v>
      </c>
      <c r="AY92">
        <v>100</v>
      </c>
      <c r="AZ92">
        <v>168</v>
      </c>
      <c r="BA92">
        <v>25</v>
      </c>
      <c r="BB92">
        <v>35</v>
      </c>
      <c r="BC92">
        <v>120</v>
      </c>
      <c r="BD92">
        <v>70</v>
      </c>
      <c r="BE92">
        <v>24</v>
      </c>
      <c r="BF92">
        <v>35</v>
      </c>
      <c r="BG92" s="26"/>
      <c r="BH92" s="26"/>
      <c r="BI92" s="26"/>
      <c r="BJ92" s="26"/>
      <c r="BK92" s="26"/>
      <c r="BL92" s="26"/>
      <c r="BM92" s="26"/>
      <c r="BN92" s="26"/>
      <c r="BO92" s="26"/>
      <c r="BP92" s="26"/>
      <c r="BQ92" s="26"/>
      <c r="BR92" s="26"/>
      <c r="BS92" s="26"/>
      <c r="BT92" s="26"/>
      <c r="BU92" s="26"/>
      <c r="BV92" s="26"/>
      <c r="BW92" s="26"/>
      <c r="BX92" s="26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K92" s="26"/>
      <c r="CL92" s="26"/>
      <c r="CM92" s="26"/>
      <c r="CN92" s="26"/>
      <c r="CO92" s="26"/>
      <c r="CP92" s="26"/>
      <c r="CQ92" s="26"/>
      <c r="CR92" s="26"/>
      <c r="CS92" s="26"/>
      <c r="CT92" s="26"/>
      <c r="CU92" s="26"/>
      <c r="CV92" s="26"/>
      <c r="CW92" s="26"/>
      <c r="CX92" s="26"/>
      <c r="CY92" s="26"/>
      <c r="CZ92" s="26"/>
      <c r="DA92" s="26"/>
      <c r="DB92" s="26"/>
      <c r="DC92" s="26"/>
      <c r="DD92" s="26"/>
    </row>
    <row r="93" spans="8:108" x14ac:dyDescent="0.2">
      <c r="H93" s="27">
        <f t="shared" si="1"/>
        <v>91</v>
      </c>
      <c r="I93">
        <v>35</v>
      </c>
      <c r="J93">
        <v>100</v>
      </c>
      <c r="K93">
        <v>35</v>
      </c>
      <c r="L93">
        <v>35</v>
      </c>
      <c r="M93">
        <v>84</v>
      </c>
      <c r="N93">
        <v>70</v>
      </c>
      <c r="O93">
        <v>35</v>
      </c>
      <c r="P93">
        <v>100</v>
      </c>
      <c r="Q93">
        <v>70</v>
      </c>
      <c r="R93">
        <v>35</v>
      </c>
      <c r="S93">
        <v>120</v>
      </c>
      <c r="T93">
        <v>84</v>
      </c>
      <c r="U93">
        <v>120</v>
      </c>
      <c r="V93">
        <v>42</v>
      </c>
      <c r="W93">
        <v>240</v>
      </c>
      <c r="X93">
        <v>100</v>
      </c>
      <c r="Y93">
        <v>140</v>
      </c>
      <c r="Z93">
        <v>24</v>
      </c>
      <c r="AA93">
        <v>96</v>
      </c>
      <c r="AB93">
        <v>84</v>
      </c>
      <c r="AC93">
        <v>20</v>
      </c>
      <c r="AD93">
        <v>120</v>
      </c>
      <c r="AE93">
        <v>35</v>
      </c>
      <c r="AF93">
        <v>80</v>
      </c>
      <c r="AG93">
        <v>140</v>
      </c>
      <c r="AH93">
        <v>35</v>
      </c>
      <c r="AI93">
        <v>35</v>
      </c>
      <c r="AJ93">
        <v>20</v>
      </c>
      <c r="AK93">
        <v>35</v>
      </c>
      <c r="AL93">
        <v>60</v>
      </c>
      <c r="AM93">
        <v>120</v>
      </c>
      <c r="AN93">
        <v>35</v>
      </c>
      <c r="AO93">
        <v>35</v>
      </c>
      <c r="AP93">
        <v>20</v>
      </c>
      <c r="AQ93">
        <v>24</v>
      </c>
      <c r="AR93">
        <v>42</v>
      </c>
      <c r="AS93">
        <v>100</v>
      </c>
      <c r="AT93">
        <v>20</v>
      </c>
      <c r="AU93">
        <v>20</v>
      </c>
      <c r="AV93">
        <v>20</v>
      </c>
      <c r="AW93">
        <v>25</v>
      </c>
      <c r="AX93">
        <v>35</v>
      </c>
      <c r="AY93">
        <v>100</v>
      </c>
      <c r="AZ93">
        <v>20</v>
      </c>
      <c r="BA93">
        <v>24</v>
      </c>
      <c r="BB93">
        <v>100</v>
      </c>
      <c r="BC93">
        <v>42</v>
      </c>
      <c r="BD93">
        <v>70</v>
      </c>
      <c r="BE93">
        <v>42</v>
      </c>
      <c r="BF93">
        <v>25</v>
      </c>
      <c r="BG93" s="26"/>
      <c r="BH93" s="26"/>
      <c r="BI93" s="26"/>
      <c r="BJ93" s="26"/>
      <c r="BK93" s="26"/>
      <c r="BL93" s="26"/>
      <c r="BM93" s="26"/>
      <c r="BN93" s="26"/>
      <c r="BO93" s="26"/>
      <c r="BP93" s="26"/>
      <c r="BQ93" s="26"/>
      <c r="BR93" s="26"/>
      <c r="BS93" s="26"/>
      <c r="BT93" s="26"/>
      <c r="BU93" s="26"/>
      <c r="BV93" s="26"/>
      <c r="BW93" s="26"/>
      <c r="BX93" s="26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K93" s="26"/>
      <c r="CL93" s="26"/>
      <c r="CM93" s="26"/>
      <c r="CN93" s="26"/>
      <c r="CO93" s="26"/>
      <c r="CP93" s="26"/>
      <c r="CQ93" s="26"/>
      <c r="CR93" s="26"/>
      <c r="CS93" s="26"/>
      <c r="CT93" s="26"/>
      <c r="CU93" s="26"/>
      <c r="CV93" s="26"/>
      <c r="CW93" s="26"/>
      <c r="CX93" s="26"/>
      <c r="CY93" s="26"/>
      <c r="CZ93" s="26"/>
      <c r="DA93" s="26"/>
      <c r="DB93" s="26"/>
      <c r="DC93" s="26"/>
      <c r="DD93" s="26"/>
    </row>
    <row r="94" spans="8:108" x14ac:dyDescent="0.2">
      <c r="H94" s="27">
        <f t="shared" si="1"/>
        <v>92</v>
      </c>
      <c r="I94">
        <v>20</v>
      </c>
      <c r="J94">
        <v>25</v>
      </c>
      <c r="K94">
        <v>35</v>
      </c>
      <c r="L94">
        <v>60</v>
      </c>
      <c r="M94">
        <v>42</v>
      </c>
      <c r="N94">
        <v>84</v>
      </c>
      <c r="O94">
        <v>35</v>
      </c>
      <c r="P94">
        <v>42</v>
      </c>
      <c r="Q94">
        <v>84</v>
      </c>
      <c r="R94">
        <v>20</v>
      </c>
      <c r="S94">
        <v>168</v>
      </c>
      <c r="T94">
        <v>35</v>
      </c>
      <c r="U94">
        <v>35</v>
      </c>
      <c r="V94">
        <v>35</v>
      </c>
      <c r="W94">
        <v>120</v>
      </c>
      <c r="X94">
        <v>24</v>
      </c>
      <c r="Y94">
        <v>140</v>
      </c>
      <c r="Z94">
        <v>20</v>
      </c>
      <c r="AA94">
        <v>42</v>
      </c>
      <c r="AB94">
        <v>35</v>
      </c>
      <c r="AC94">
        <v>42</v>
      </c>
      <c r="AD94">
        <v>100</v>
      </c>
      <c r="AE94">
        <v>25</v>
      </c>
      <c r="AF94">
        <v>20</v>
      </c>
      <c r="AG94">
        <v>240</v>
      </c>
      <c r="AH94">
        <v>42</v>
      </c>
      <c r="AI94">
        <v>42</v>
      </c>
      <c r="AJ94">
        <v>240</v>
      </c>
      <c r="AK94">
        <v>24</v>
      </c>
      <c r="AL94">
        <v>25</v>
      </c>
      <c r="AM94">
        <v>100</v>
      </c>
      <c r="AN94">
        <v>42</v>
      </c>
      <c r="AO94">
        <v>168</v>
      </c>
      <c r="AP94">
        <v>168</v>
      </c>
      <c r="AQ94">
        <v>30</v>
      </c>
      <c r="AR94">
        <v>42</v>
      </c>
      <c r="AS94">
        <v>42</v>
      </c>
      <c r="AT94">
        <v>80</v>
      </c>
      <c r="AU94">
        <v>24</v>
      </c>
      <c r="AV94">
        <v>25</v>
      </c>
      <c r="AW94">
        <v>24</v>
      </c>
      <c r="AX94">
        <v>42</v>
      </c>
      <c r="AY94">
        <v>35</v>
      </c>
      <c r="AZ94">
        <v>20</v>
      </c>
      <c r="BA94">
        <v>35</v>
      </c>
      <c r="BB94">
        <v>25</v>
      </c>
      <c r="BC94">
        <v>96</v>
      </c>
      <c r="BD94">
        <v>35</v>
      </c>
      <c r="BE94">
        <v>30</v>
      </c>
      <c r="BF94">
        <v>120</v>
      </c>
      <c r="BG94" s="26"/>
      <c r="BH94" s="26"/>
      <c r="BI94" s="26"/>
      <c r="BJ94" s="26"/>
      <c r="BK94" s="26"/>
      <c r="BL94" s="26"/>
      <c r="BM94" s="26"/>
      <c r="BN94" s="26"/>
      <c r="BO94" s="26"/>
      <c r="BP94" s="26"/>
      <c r="BQ94" s="26"/>
      <c r="BR94" s="26"/>
      <c r="BS94" s="26"/>
      <c r="BT94" s="26"/>
      <c r="BU94" s="26"/>
      <c r="BV94" s="26"/>
      <c r="BW94" s="26"/>
      <c r="BX94" s="26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K94" s="26"/>
      <c r="CL94" s="26"/>
      <c r="CM94" s="26"/>
      <c r="CN94" s="26"/>
      <c r="CO94" s="26"/>
      <c r="CP94" s="26"/>
      <c r="CQ94" s="26"/>
      <c r="CR94" s="26"/>
      <c r="CS94" s="26"/>
      <c r="CT94" s="26"/>
      <c r="CU94" s="26"/>
      <c r="CV94" s="26"/>
      <c r="CW94" s="26"/>
      <c r="CX94" s="26"/>
      <c r="CY94" s="26"/>
      <c r="CZ94" s="26"/>
      <c r="DA94" s="26"/>
      <c r="DB94" s="26"/>
      <c r="DC94" s="26"/>
      <c r="DD94" s="26"/>
    </row>
    <row r="95" spans="8:108" x14ac:dyDescent="0.2">
      <c r="H95" s="27">
        <f t="shared" si="1"/>
        <v>93</v>
      </c>
      <c r="I95">
        <v>20</v>
      </c>
      <c r="J95">
        <v>24</v>
      </c>
      <c r="K95">
        <v>200</v>
      </c>
      <c r="L95">
        <v>70</v>
      </c>
      <c r="M95">
        <v>140</v>
      </c>
      <c r="N95">
        <v>140</v>
      </c>
      <c r="O95">
        <v>120</v>
      </c>
      <c r="P95">
        <v>25</v>
      </c>
      <c r="Q95">
        <v>100</v>
      </c>
      <c r="R95">
        <v>20</v>
      </c>
      <c r="S95">
        <v>42</v>
      </c>
      <c r="T95">
        <v>70</v>
      </c>
      <c r="U95">
        <v>35</v>
      </c>
      <c r="V95">
        <v>84</v>
      </c>
      <c r="W95">
        <v>35</v>
      </c>
      <c r="X95">
        <v>100</v>
      </c>
      <c r="Y95">
        <v>42</v>
      </c>
      <c r="Z95">
        <v>96</v>
      </c>
      <c r="AA95">
        <v>120</v>
      </c>
      <c r="AB95">
        <v>42</v>
      </c>
      <c r="AC95">
        <v>240</v>
      </c>
      <c r="AD95">
        <v>20</v>
      </c>
      <c r="AE95">
        <v>35</v>
      </c>
      <c r="AF95">
        <v>96</v>
      </c>
      <c r="AG95">
        <v>42</v>
      </c>
      <c r="AH95">
        <v>42</v>
      </c>
      <c r="AI95">
        <v>42</v>
      </c>
      <c r="AJ95">
        <v>30</v>
      </c>
      <c r="AK95">
        <v>30</v>
      </c>
      <c r="AL95">
        <v>42</v>
      </c>
      <c r="AM95">
        <v>20</v>
      </c>
      <c r="AN95">
        <v>24</v>
      </c>
      <c r="AO95">
        <v>35</v>
      </c>
      <c r="AP95">
        <v>42</v>
      </c>
      <c r="AQ95">
        <v>30</v>
      </c>
      <c r="AR95">
        <v>168</v>
      </c>
      <c r="AS95">
        <v>35</v>
      </c>
      <c r="AT95">
        <v>80</v>
      </c>
      <c r="AU95">
        <v>42</v>
      </c>
      <c r="AV95">
        <v>30</v>
      </c>
      <c r="AW95">
        <v>120</v>
      </c>
      <c r="AX95">
        <v>168</v>
      </c>
      <c r="AY95">
        <v>35</v>
      </c>
      <c r="AZ95">
        <v>100</v>
      </c>
      <c r="BA95">
        <v>140</v>
      </c>
      <c r="BB95">
        <v>5</v>
      </c>
      <c r="BC95">
        <v>35</v>
      </c>
      <c r="BD95">
        <v>25</v>
      </c>
      <c r="BE95">
        <v>100</v>
      </c>
      <c r="BF95">
        <v>42</v>
      </c>
      <c r="BG95" s="26"/>
      <c r="BH95" s="26"/>
      <c r="BI95" s="26"/>
      <c r="BJ95" s="26"/>
      <c r="BK95" s="26"/>
      <c r="BL95" s="26"/>
      <c r="BM95" s="26"/>
      <c r="BN95" s="26"/>
      <c r="BO95" s="26"/>
      <c r="BP95" s="26"/>
      <c r="BQ95" s="26"/>
      <c r="BR95" s="26"/>
      <c r="BS95" s="26"/>
      <c r="BT95" s="26"/>
      <c r="BU95" s="26"/>
      <c r="BV95" s="26"/>
      <c r="BW95" s="26"/>
      <c r="BX95" s="26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26"/>
      <c r="CP95" s="26"/>
      <c r="CQ95" s="26"/>
      <c r="CR95" s="26"/>
      <c r="CS95" s="26"/>
      <c r="CT95" s="26"/>
      <c r="CU95" s="26"/>
      <c r="CV95" s="26"/>
      <c r="CW95" s="26"/>
      <c r="CX95" s="26"/>
      <c r="CY95" s="26"/>
      <c r="CZ95" s="26"/>
      <c r="DA95" s="26"/>
      <c r="DB95" s="26"/>
      <c r="DC95" s="26"/>
      <c r="DD95" s="26"/>
    </row>
    <row r="96" spans="8:108" x14ac:dyDescent="0.2">
      <c r="H96" s="27">
        <f t="shared" si="1"/>
        <v>94</v>
      </c>
      <c r="I96">
        <v>80</v>
      </c>
      <c r="J96">
        <v>100</v>
      </c>
      <c r="K96">
        <v>80</v>
      </c>
      <c r="L96">
        <v>70</v>
      </c>
      <c r="M96">
        <v>20</v>
      </c>
      <c r="N96">
        <v>70</v>
      </c>
      <c r="O96">
        <v>20</v>
      </c>
      <c r="P96">
        <v>20</v>
      </c>
      <c r="Q96">
        <v>120</v>
      </c>
      <c r="R96">
        <v>140</v>
      </c>
      <c r="S96">
        <v>25</v>
      </c>
      <c r="T96">
        <v>100</v>
      </c>
      <c r="U96">
        <v>42</v>
      </c>
      <c r="V96">
        <v>100</v>
      </c>
      <c r="W96">
        <v>25</v>
      </c>
      <c r="X96">
        <v>25</v>
      </c>
      <c r="Y96">
        <v>100</v>
      </c>
      <c r="Z96">
        <v>42</v>
      </c>
      <c r="AA96">
        <v>35</v>
      </c>
      <c r="AB96">
        <v>20</v>
      </c>
      <c r="AC96">
        <v>25</v>
      </c>
      <c r="AD96">
        <v>100</v>
      </c>
      <c r="AE96">
        <v>20</v>
      </c>
      <c r="AF96">
        <v>42</v>
      </c>
      <c r="AG96">
        <v>35</v>
      </c>
      <c r="AH96">
        <v>42</v>
      </c>
      <c r="AI96">
        <v>35</v>
      </c>
      <c r="AJ96">
        <v>20</v>
      </c>
      <c r="AK96">
        <v>24</v>
      </c>
      <c r="AL96">
        <v>42</v>
      </c>
      <c r="AM96">
        <v>25</v>
      </c>
      <c r="AN96">
        <v>24</v>
      </c>
      <c r="AO96">
        <v>72</v>
      </c>
      <c r="AP96">
        <v>140</v>
      </c>
      <c r="AQ96">
        <v>70</v>
      </c>
      <c r="AR96">
        <v>24</v>
      </c>
      <c r="AS96">
        <v>70</v>
      </c>
      <c r="AT96">
        <v>25</v>
      </c>
      <c r="AU96">
        <v>35</v>
      </c>
      <c r="AV96">
        <v>20</v>
      </c>
      <c r="AW96">
        <v>200</v>
      </c>
      <c r="AX96">
        <v>20</v>
      </c>
      <c r="AY96">
        <v>240</v>
      </c>
      <c r="AZ96">
        <v>70</v>
      </c>
      <c r="BA96">
        <v>70</v>
      </c>
      <c r="BB96">
        <v>30</v>
      </c>
      <c r="BC96">
        <v>25</v>
      </c>
      <c r="BD96">
        <v>42</v>
      </c>
      <c r="BE96">
        <v>140</v>
      </c>
      <c r="BF96">
        <v>100</v>
      </c>
      <c r="BG96" s="26"/>
      <c r="BH96" s="26"/>
      <c r="BI96" s="26"/>
      <c r="BJ96" s="26"/>
      <c r="BK96" s="26"/>
      <c r="BL96" s="26"/>
      <c r="BM96" s="26"/>
      <c r="BN96" s="26"/>
      <c r="BO96" s="26"/>
      <c r="BP96" s="26"/>
      <c r="BQ96" s="26"/>
      <c r="BR96" s="26"/>
      <c r="BS96" s="26"/>
      <c r="BT96" s="26"/>
      <c r="BU96" s="26"/>
      <c r="BV96" s="26"/>
      <c r="BW96" s="26"/>
      <c r="BX96" s="26"/>
      <c r="BY96" s="26"/>
      <c r="BZ96" s="26"/>
      <c r="CA96" s="26"/>
      <c r="CB96" s="26"/>
      <c r="CC96" s="26"/>
      <c r="CD96" s="26"/>
      <c r="CE96" s="26"/>
      <c r="CF96" s="26"/>
      <c r="CG96" s="26"/>
      <c r="CH96" s="26"/>
      <c r="CI96" s="26"/>
      <c r="CJ96" s="26"/>
      <c r="CK96" s="26"/>
      <c r="CL96" s="26"/>
      <c r="CM96" s="26"/>
      <c r="CN96" s="26"/>
      <c r="CO96" s="26"/>
      <c r="CP96" s="26"/>
      <c r="CQ96" s="26"/>
      <c r="CR96" s="26"/>
      <c r="CS96" s="26"/>
      <c r="CT96" s="26"/>
      <c r="CU96" s="26"/>
      <c r="CV96" s="26"/>
      <c r="CW96" s="26"/>
      <c r="CX96" s="26"/>
      <c r="CY96" s="26"/>
      <c r="CZ96" s="26"/>
      <c r="DA96" s="26"/>
      <c r="DB96" s="26"/>
      <c r="DC96" s="26"/>
      <c r="DD96" s="26"/>
    </row>
    <row r="97" spans="8:108" x14ac:dyDescent="0.2">
      <c r="H97" s="27">
        <f t="shared" si="1"/>
        <v>95</v>
      </c>
      <c r="I97">
        <v>70</v>
      </c>
      <c r="J97">
        <v>100</v>
      </c>
      <c r="K97">
        <v>120</v>
      </c>
      <c r="L97">
        <v>35</v>
      </c>
      <c r="M97">
        <v>35</v>
      </c>
      <c r="N97">
        <v>20</v>
      </c>
      <c r="O97">
        <v>35</v>
      </c>
      <c r="P97">
        <v>35</v>
      </c>
      <c r="Q97">
        <v>24</v>
      </c>
      <c r="R97">
        <v>42</v>
      </c>
      <c r="S97">
        <v>35</v>
      </c>
      <c r="T97">
        <v>24</v>
      </c>
      <c r="U97">
        <v>42</v>
      </c>
      <c r="V97">
        <v>200</v>
      </c>
      <c r="W97">
        <v>20</v>
      </c>
      <c r="X97">
        <v>24</v>
      </c>
      <c r="Y97">
        <v>20</v>
      </c>
      <c r="Z97">
        <v>200</v>
      </c>
      <c r="AA97">
        <v>100</v>
      </c>
      <c r="AB97">
        <v>42</v>
      </c>
      <c r="AC97">
        <v>25</v>
      </c>
      <c r="AD97">
        <v>25</v>
      </c>
      <c r="AE97">
        <v>30</v>
      </c>
      <c r="AF97">
        <v>24</v>
      </c>
      <c r="AG97">
        <v>168</v>
      </c>
      <c r="AH97">
        <v>200</v>
      </c>
      <c r="AI97">
        <v>20</v>
      </c>
      <c r="AJ97">
        <v>140</v>
      </c>
      <c r="AK97">
        <v>35</v>
      </c>
      <c r="AL97">
        <v>42</v>
      </c>
      <c r="AM97">
        <v>168</v>
      </c>
      <c r="AN97">
        <v>80</v>
      </c>
      <c r="AO97">
        <v>24</v>
      </c>
      <c r="AP97">
        <v>35</v>
      </c>
      <c r="AQ97">
        <v>200</v>
      </c>
      <c r="AR97">
        <v>35</v>
      </c>
      <c r="AS97">
        <v>42</v>
      </c>
      <c r="AT97">
        <v>42</v>
      </c>
      <c r="AU97">
        <v>140</v>
      </c>
      <c r="AV97">
        <v>42</v>
      </c>
      <c r="AW97">
        <v>42</v>
      </c>
      <c r="AX97">
        <v>25</v>
      </c>
      <c r="AY97">
        <v>25</v>
      </c>
      <c r="AZ97">
        <v>140</v>
      </c>
      <c r="BA97">
        <v>80</v>
      </c>
      <c r="BB97">
        <v>80</v>
      </c>
      <c r="BC97">
        <v>25</v>
      </c>
      <c r="BD97">
        <v>42</v>
      </c>
      <c r="BE97">
        <v>35</v>
      </c>
      <c r="BF97">
        <v>35</v>
      </c>
      <c r="BG97" s="26"/>
      <c r="BH97" s="26"/>
      <c r="BI97" s="26"/>
      <c r="BJ97" s="26"/>
      <c r="BK97" s="26"/>
      <c r="BL97" s="26"/>
      <c r="BM97" s="26"/>
      <c r="BN97" s="26"/>
      <c r="BO97" s="26"/>
      <c r="BP97" s="26"/>
      <c r="BQ97" s="26"/>
      <c r="BR97" s="26"/>
      <c r="BS97" s="26"/>
      <c r="BT97" s="26"/>
      <c r="BU97" s="26"/>
      <c r="BV97" s="26"/>
      <c r="BW97" s="26"/>
      <c r="BX97" s="26"/>
      <c r="BY97" s="26"/>
      <c r="BZ97" s="26"/>
      <c r="CA97" s="26"/>
      <c r="CB97" s="26"/>
      <c r="CC97" s="26"/>
      <c r="CD97" s="26"/>
      <c r="CE97" s="26"/>
      <c r="CF97" s="26"/>
      <c r="CG97" s="26"/>
      <c r="CH97" s="26"/>
      <c r="CI97" s="26"/>
      <c r="CJ97" s="26"/>
      <c r="CK97" s="26"/>
      <c r="CL97" s="26"/>
      <c r="CM97" s="26"/>
      <c r="CN97" s="26"/>
      <c r="CO97" s="26"/>
      <c r="CP97" s="26"/>
      <c r="CQ97" s="26"/>
      <c r="CR97" s="26"/>
      <c r="CS97" s="26"/>
      <c r="CT97" s="26"/>
      <c r="CU97" s="26"/>
      <c r="CV97" s="26"/>
      <c r="CW97" s="26"/>
      <c r="CX97" s="26"/>
      <c r="CY97" s="26"/>
      <c r="CZ97" s="26"/>
      <c r="DA97" s="26"/>
      <c r="DB97" s="26"/>
      <c r="DC97" s="26"/>
      <c r="DD97" s="26"/>
    </row>
    <row r="98" spans="8:108" x14ac:dyDescent="0.2">
      <c r="H98" s="27">
        <f t="shared" si="1"/>
        <v>96</v>
      </c>
      <c r="I98">
        <v>100</v>
      </c>
      <c r="J98">
        <v>96</v>
      </c>
      <c r="K98">
        <v>42</v>
      </c>
      <c r="L98">
        <v>80</v>
      </c>
      <c r="M98">
        <v>100</v>
      </c>
      <c r="N98">
        <v>20</v>
      </c>
      <c r="O98">
        <v>25</v>
      </c>
      <c r="P98">
        <v>20</v>
      </c>
      <c r="Q98">
        <v>20</v>
      </c>
      <c r="R98">
        <v>42</v>
      </c>
      <c r="S98">
        <v>70</v>
      </c>
      <c r="T98">
        <v>100</v>
      </c>
      <c r="U98">
        <v>24</v>
      </c>
      <c r="V98">
        <v>35</v>
      </c>
      <c r="W98">
        <v>20</v>
      </c>
      <c r="X98">
        <v>35</v>
      </c>
      <c r="Y98">
        <v>100</v>
      </c>
      <c r="Z98">
        <v>168</v>
      </c>
      <c r="AA98">
        <v>42</v>
      </c>
      <c r="AB98">
        <v>60</v>
      </c>
      <c r="AC98">
        <v>24</v>
      </c>
      <c r="AD98">
        <v>24</v>
      </c>
      <c r="AE98">
        <v>35</v>
      </c>
      <c r="AF98">
        <v>140</v>
      </c>
      <c r="AG98">
        <v>20</v>
      </c>
      <c r="AH98">
        <v>84</v>
      </c>
      <c r="AI98">
        <v>80</v>
      </c>
      <c r="AJ98">
        <v>42</v>
      </c>
      <c r="AK98">
        <v>100</v>
      </c>
      <c r="AL98">
        <v>42</v>
      </c>
      <c r="AM98">
        <v>70</v>
      </c>
      <c r="AN98">
        <v>25</v>
      </c>
      <c r="AO98">
        <v>25</v>
      </c>
      <c r="AP98">
        <v>24</v>
      </c>
      <c r="AQ98">
        <v>42</v>
      </c>
      <c r="AR98">
        <v>24</v>
      </c>
      <c r="AS98">
        <v>120</v>
      </c>
      <c r="AT98">
        <v>84</v>
      </c>
      <c r="AU98">
        <v>84</v>
      </c>
      <c r="AV98">
        <v>140</v>
      </c>
      <c r="AW98">
        <v>120</v>
      </c>
      <c r="AX98">
        <v>35</v>
      </c>
      <c r="AY98">
        <v>25</v>
      </c>
      <c r="AZ98">
        <v>96</v>
      </c>
      <c r="BA98">
        <v>30</v>
      </c>
      <c r="BB98">
        <v>140</v>
      </c>
      <c r="BC98">
        <v>70</v>
      </c>
      <c r="BD98">
        <v>100</v>
      </c>
      <c r="BE98">
        <v>70</v>
      </c>
      <c r="BF98">
        <v>24</v>
      </c>
      <c r="BG98" s="26"/>
      <c r="BH98" s="26"/>
      <c r="BI98" s="26"/>
      <c r="BJ98" s="26"/>
      <c r="BK98" s="26"/>
      <c r="BL98" s="26"/>
      <c r="BM98" s="26"/>
      <c r="BN98" s="26"/>
      <c r="BO98" s="26"/>
      <c r="BP98" s="26"/>
      <c r="BQ98" s="26"/>
      <c r="BR98" s="26"/>
      <c r="BS98" s="26"/>
      <c r="BT98" s="26"/>
      <c r="BU98" s="26"/>
      <c r="BV98" s="26"/>
      <c r="BW98" s="26"/>
      <c r="BX98" s="26"/>
      <c r="BY98" s="26"/>
      <c r="BZ98" s="26"/>
      <c r="CA98" s="26"/>
      <c r="CB98" s="26"/>
      <c r="CC98" s="26"/>
      <c r="CD98" s="26"/>
      <c r="CE98" s="26"/>
      <c r="CF98" s="26"/>
      <c r="CG98" s="26"/>
      <c r="CH98" s="26"/>
      <c r="CI98" s="26"/>
      <c r="CJ98" s="26"/>
      <c r="CK98" s="26"/>
      <c r="CL98" s="26"/>
      <c r="CM98" s="26"/>
      <c r="CN98" s="26"/>
      <c r="CO98" s="26"/>
      <c r="CP98" s="26"/>
      <c r="CQ98" s="26"/>
      <c r="CR98" s="26"/>
      <c r="CS98" s="26"/>
      <c r="CT98" s="26"/>
      <c r="CU98" s="26"/>
      <c r="CV98" s="26"/>
      <c r="CW98" s="26"/>
      <c r="CX98" s="26"/>
      <c r="CY98" s="26"/>
      <c r="CZ98" s="26"/>
      <c r="DA98" s="26"/>
      <c r="DB98" s="26"/>
      <c r="DC98" s="26"/>
      <c r="DD98" s="26"/>
    </row>
    <row r="99" spans="8:108" x14ac:dyDescent="0.2">
      <c r="H99" s="27">
        <f t="shared" si="1"/>
        <v>97</v>
      </c>
      <c r="I99">
        <v>42</v>
      </c>
      <c r="J99">
        <v>42</v>
      </c>
      <c r="K99">
        <v>20</v>
      </c>
      <c r="L99">
        <v>200</v>
      </c>
      <c r="M99">
        <v>120</v>
      </c>
      <c r="N99">
        <v>100</v>
      </c>
      <c r="O99">
        <v>35</v>
      </c>
      <c r="P99">
        <v>20</v>
      </c>
      <c r="Q99">
        <v>20</v>
      </c>
      <c r="R99">
        <v>80</v>
      </c>
      <c r="S99">
        <v>24</v>
      </c>
      <c r="T99">
        <v>140</v>
      </c>
      <c r="U99">
        <v>35</v>
      </c>
      <c r="V99">
        <v>60</v>
      </c>
      <c r="W99">
        <v>140</v>
      </c>
      <c r="X99">
        <v>20</v>
      </c>
      <c r="Y99">
        <v>100</v>
      </c>
      <c r="Z99">
        <v>25</v>
      </c>
      <c r="AA99">
        <v>70</v>
      </c>
      <c r="AB99">
        <v>24</v>
      </c>
      <c r="AC99">
        <v>20</v>
      </c>
      <c r="AD99">
        <v>24</v>
      </c>
      <c r="AE99">
        <v>80</v>
      </c>
      <c r="AF99">
        <v>168</v>
      </c>
      <c r="AG99">
        <v>35</v>
      </c>
      <c r="AH99">
        <v>20</v>
      </c>
      <c r="AI99">
        <v>25</v>
      </c>
      <c r="AJ99">
        <v>100</v>
      </c>
      <c r="AK99">
        <v>42</v>
      </c>
      <c r="AL99">
        <v>120</v>
      </c>
      <c r="AM99">
        <v>42</v>
      </c>
      <c r="AN99">
        <v>120</v>
      </c>
      <c r="AO99">
        <v>50</v>
      </c>
      <c r="AP99">
        <v>42</v>
      </c>
      <c r="AQ99">
        <v>140</v>
      </c>
      <c r="AR99">
        <v>100</v>
      </c>
      <c r="AS99">
        <v>120</v>
      </c>
      <c r="AT99">
        <v>168</v>
      </c>
      <c r="AU99">
        <v>96</v>
      </c>
      <c r="AV99">
        <v>84</v>
      </c>
      <c r="AW99">
        <v>84</v>
      </c>
      <c r="AX99">
        <v>20</v>
      </c>
      <c r="AY99">
        <v>80</v>
      </c>
      <c r="AZ99">
        <v>35</v>
      </c>
      <c r="BA99">
        <v>30</v>
      </c>
      <c r="BB99">
        <v>200</v>
      </c>
      <c r="BC99">
        <v>24</v>
      </c>
      <c r="BD99">
        <v>70</v>
      </c>
      <c r="BE99">
        <v>100</v>
      </c>
      <c r="BF99">
        <v>42</v>
      </c>
      <c r="BG99" s="26"/>
      <c r="BH99" s="26"/>
      <c r="BI99" s="26"/>
      <c r="BJ99" s="26"/>
      <c r="BK99" s="26"/>
      <c r="BL99" s="26"/>
      <c r="BM99" s="26"/>
      <c r="BN99" s="26"/>
      <c r="BO99" s="26"/>
      <c r="BP99" s="26"/>
      <c r="BQ99" s="26"/>
      <c r="BR99" s="26"/>
      <c r="BS99" s="26"/>
      <c r="BT99" s="26"/>
      <c r="BU99" s="26"/>
      <c r="BV99" s="26"/>
      <c r="BW99" s="26"/>
      <c r="BX99" s="26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K99" s="26"/>
      <c r="CL99" s="26"/>
      <c r="CM99" s="26"/>
      <c r="CN99" s="26"/>
      <c r="CO99" s="26"/>
      <c r="CP99" s="26"/>
      <c r="CQ99" s="26"/>
      <c r="CR99" s="26"/>
      <c r="CS99" s="26"/>
      <c r="CT99" s="26"/>
      <c r="CU99" s="26"/>
      <c r="CV99" s="26"/>
      <c r="CW99" s="26"/>
      <c r="CX99" s="26"/>
      <c r="CY99" s="26"/>
      <c r="CZ99" s="26"/>
      <c r="DA99" s="26"/>
      <c r="DB99" s="26"/>
      <c r="DC99" s="26"/>
      <c r="DD99" s="26"/>
    </row>
    <row r="100" spans="8:108" x14ac:dyDescent="0.2">
      <c r="H100" s="27">
        <f t="shared" si="1"/>
        <v>98</v>
      </c>
      <c r="I100">
        <v>140</v>
      </c>
      <c r="J100">
        <v>70</v>
      </c>
      <c r="K100">
        <v>35</v>
      </c>
      <c r="L100">
        <v>35</v>
      </c>
      <c r="M100">
        <v>20</v>
      </c>
      <c r="N100">
        <v>24</v>
      </c>
      <c r="O100">
        <v>35</v>
      </c>
      <c r="P100">
        <v>80</v>
      </c>
      <c r="Q100">
        <v>35</v>
      </c>
      <c r="R100">
        <v>35</v>
      </c>
      <c r="S100">
        <v>140</v>
      </c>
      <c r="T100">
        <v>84</v>
      </c>
      <c r="U100">
        <v>25</v>
      </c>
      <c r="V100">
        <v>20</v>
      </c>
      <c r="W100">
        <v>70</v>
      </c>
      <c r="X100">
        <v>35</v>
      </c>
      <c r="Y100">
        <v>140</v>
      </c>
      <c r="Z100">
        <v>168</v>
      </c>
      <c r="AA100">
        <v>140</v>
      </c>
      <c r="AB100">
        <v>96</v>
      </c>
      <c r="AC100">
        <v>25</v>
      </c>
      <c r="AD100">
        <v>100</v>
      </c>
      <c r="AE100">
        <v>30</v>
      </c>
      <c r="AF100">
        <v>30</v>
      </c>
      <c r="AG100">
        <v>35</v>
      </c>
      <c r="AH100">
        <v>25</v>
      </c>
      <c r="AI100">
        <v>30</v>
      </c>
      <c r="AJ100">
        <v>30</v>
      </c>
      <c r="AK100">
        <v>100</v>
      </c>
      <c r="AL100">
        <v>30</v>
      </c>
      <c r="AM100">
        <v>100</v>
      </c>
      <c r="AN100">
        <v>42</v>
      </c>
      <c r="AO100">
        <v>42</v>
      </c>
      <c r="AP100">
        <v>20</v>
      </c>
      <c r="AQ100">
        <v>24</v>
      </c>
      <c r="AR100">
        <v>80</v>
      </c>
      <c r="AS100">
        <v>80</v>
      </c>
      <c r="AT100">
        <v>20</v>
      </c>
      <c r="AU100">
        <v>35</v>
      </c>
      <c r="AV100">
        <v>120</v>
      </c>
      <c r="AW100">
        <v>20</v>
      </c>
      <c r="AX100">
        <v>35</v>
      </c>
      <c r="AY100">
        <v>240</v>
      </c>
      <c r="AZ100">
        <v>42</v>
      </c>
      <c r="BA100">
        <v>140</v>
      </c>
      <c r="BB100">
        <v>20</v>
      </c>
      <c r="BC100">
        <v>140</v>
      </c>
      <c r="BD100">
        <v>20</v>
      </c>
      <c r="BE100">
        <v>100</v>
      </c>
      <c r="BF100">
        <v>30</v>
      </c>
      <c r="BG100" s="26"/>
      <c r="BH100" s="26"/>
      <c r="BI100" s="26"/>
      <c r="BJ100" s="26"/>
      <c r="BK100" s="26"/>
      <c r="BL100" s="26"/>
      <c r="BM100" s="26"/>
      <c r="BN100" s="26"/>
      <c r="BO100" s="26"/>
      <c r="BP100" s="26"/>
      <c r="BQ100" s="26"/>
      <c r="BR100" s="26"/>
      <c r="BS100" s="26"/>
      <c r="BT100" s="26"/>
      <c r="BU100" s="26"/>
      <c r="BV100" s="26"/>
      <c r="BW100" s="26"/>
      <c r="BX100" s="26"/>
      <c r="BY100" s="26"/>
      <c r="BZ100" s="26"/>
      <c r="CA100" s="26"/>
      <c r="CB100" s="26"/>
      <c r="CC100" s="26"/>
      <c r="CD100" s="26"/>
      <c r="CE100" s="26"/>
      <c r="CF100" s="26"/>
      <c r="CG100" s="26"/>
      <c r="CH100" s="26"/>
      <c r="CI100" s="26"/>
      <c r="CJ100" s="26"/>
      <c r="CK100" s="26"/>
      <c r="CL100" s="26"/>
      <c r="CM100" s="26"/>
      <c r="CN100" s="26"/>
      <c r="CO100" s="26"/>
      <c r="CP100" s="26"/>
      <c r="CQ100" s="26"/>
      <c r="CR100" s="26"/>
      <c r="CS100" s="26"/>
      <c r="CT100" s="26"/>
      <c r="CU100" s="26"/>
      <c r="CV100" s="26"/>
      <c r="CW100" s="26"/>
      <c r="CX100" s="26"/>
      <c r="CY100" s="26"/>
      <c r="CZ100" s="26"/>
      <c r="DA100" s="26"/>
      <c r="DB100" s="26"/>
      <c r="DC100" s="26"/>
      <c r="DD100" s="26"/>
    </row>
    <row r="101" spans="8:108" x14ac:dyDescent="0.2">
      <c r="H101" s="27">
        <f t="shared" si="1"/>
        <v>99</v>
      </c>
      <c r="I101">
        <v>140</v>
      </c>
      <c r="J101">
        <v>100</v>
      </c>
      <c r="K101">
        <v>24</v>
      </c>
      <c r="L101">
        <v>24</v>
      </c>
      <c r="M101">
        <v>120</v>
      </c>
      <c r="N101">
        <v>70</v>
      </c>
      <c r="O101">
        <v>100</v>
      </c>
      <c r="P101">
        <v>35</v>
      </c>
      <c r="Q101">
        <v>84</v>
      </c>
      <c r="R101">
        <v>20</v>
      </c>
      <c r="S101">
        <v>70</v>
      </c>
      <c r="T101">
        <v>140</v>
      </c>
      <c r="U101">
        <v>70</v>
      </c>
      <c r="V101">
        <v>25</v>
      </c>
      <c r="W101">
        <v>35</v>
      </c>
      <c r="X101">
        <v>120</v>
      </c>
      <c r="Y101">
        <v>140</v>
      </c>
      <c r="Z101">
        <v>100</v>
      </c>
      <c r="AA101">
        <v>35</v>
      </c>
      <c r="AB101">
        <v>140</v>
      </c>
      <c r="AC101">
        <v>35</v>
      </c>
      <c r="AD101">
        <v>100</v>
      </c>
      <c r="AE101">
        <v>20</v>
      </c>
      <c r="AF101">
        <v>100</v>
      </c>
      <c r="AG101">
        <v>70</v>
      </c>
      <c r="AH101">
        <v>42</v>
      </c>
      <c r="AI101">
        <v>25</v>
      </c>
      <c r="AJ101">
        <v>35</v>
      </c>
      <c r="AK101">
        <v>25</v>
      </c>
      <c r="AL101">
        <v>20</v>
      </c>
      <c r="AM101">
        <v>25</v>
      </c>
      <c r="AN101">
        <v>42</v>
      </c>
      <c r="AO101">
        <v>100</v>
      </c>
      <c r="AP101">
        <v>100</v>
      </c>
      <c r="AQ101">
        <v>42</v>
      </c>
      <c r="AR101">
        <v>96</v>
      </c>
      <c r="AS101">
        <v>120</v>
      </c>
      <c r="AT101">
        <v>35</v>
      </c>
      <c r="AU101">
        <v>70</v>
      </c>
      <c r="AV101">
        <v>140</v>
      </c>
      <c r="AW101">
        <v>84</v>
      </c>
      <c r="AX101">
        <v>168</v>
      </c>
      <c r="AY101">
        <v>24</v>
      </c>
      <c r="AZ101">
        <v>35</v>
      </c>
      <c r="BA101">
        <v>120</v>
      </c>
      <c r="BB101">
        <v>35</v>
      </c>
      <c r="BC101">
        <v>24</v>
      </c>
      <c r="BD101">
        <v>20</v>
      </c>
      <c r="BE101">
        <v>42</v>
      </c>
      <c r="BF101">
        <v>35</v>
      </c>
      <c r="BG101" s="26"/>
      <c r="BH101" s="26"/>
      <c r="BI101" s="26"/>
      <c r="BJ101" s="26"/>
      <c r="BK101" s="26"/>
      <c r="BL101" s="26"/>
      <c r="BM101" s="26"/>
      <c r="BN101" s="26"/>
      <c r="BO101" s="26"/>
      <c r="BP101" s="26"/>
      <c r="BQ101" s="26"/>
      <c r="BR101" s="26"/>
      <c r="BS101" s="26"/>
      <c r="BT101" s="26"/>
      <c r="BU101" s="26"/>
      <c r="BV101" s="26"/>
      <c r="BW101" s="26"/>
      <c r="BX101" s="26"/>
      <c r="BY101" s="26"/>
      <c r="BZ101" s="26"/>
      <c r="CA101" s="26"/>
      <c r="CB101" s="26"/>
      <c r="CC101" s="26"/>
      <c r="CD101" s="26"/>
      <c r="CE101" s="26"/>
      <c r="CF101" s="26"/>
      <c r="CG101" s="26"/>
      <c r="CH101" s="26"/>
      <c r="CI101" s="26"/>
      <c r="CJ101" s="26"/>
      <c r="CK101" s="26"/>
      <c r="CL101" s="26"/>
      <c r="CM101" s="26"/>
      <c r="CN101" s="26"/>
      <c r="CO101" s="26"/>
      <c r="CP101" s="26"/>
      <c r="CQ101" s="26"/>
      <c r="CR101" s="26"/>
      <c r="CS101" s="26"/>
      <c r="CT101" s="26"/>
      <c r="CU101" s="26"/>
      <c r="CV101" s="26"/>
      <c r="CW101" s="26"/>
      <c r="CX101" s="26"/>
      <c r="CY101" s="26"/>
      <c r="CZ101" s="26"/>
      <c r="DA101" s="26"/>
      <c r="DB101" s="26"/>
      <c r="DC101" s="26"/>
      <c r="DD101" s="26"/>
    </row>
    <row r="102" spans="8:108" x14ac:dyDescent="0.2">
      <c r="H102" s="28">
        <f t="shared" si="1"/>
        <v>100</v>
      </c>
      <c r="I102" s="4">
        <v>140</v>
      </c>
      <c r="J102" s="4">
        <v>240</v>
      </c>
      <c r="K102" s="4">
        <v>96</v>
      </c>
      <c r="L102" s="4">
        <v>20</v>
      </c>
      <c r="M102" s="4">
        <v>168</v>
      </c>
      <c r="N102" s="4">
        <v>20</v>
      </c>
      <c r="O102" s="4">
        <v>60</v>
      </c>
      <c r="P102" s="4">
        <v>25</v>
      </c>
      <c r="Q102" s="4">
        <v>100</v>
      </c>
      <c r="R102" s="4">
        <v>140</v>
      </c>
      <c r="S102" s="4">
        <v>25</v>
      </c>
      <c r="T102" s="4">
        <v>42</v>
      </c>
      <c r="U102" s="4">
        <v>168</v>
      </c>
      <c r="V102" s="4">
        <v>35</v>
      </c>
      <c r="W102" s="4">
        <v>25</v>
      </c>
      <c r="X102" s="4">
        <v>25</v>
      </c>
      <c r="Y102" s="4">
        <v>120</v>
      </c>
      <c r="Z102" s="4">
        <v>200</v>
      </c>
      <c r="AA102" s="4">
        <v>100</v>
      </c>
      <c r="AB102" s="4">
        <v>42</v>
      </c>
      <c r="AC102" s="4">
        <v>35</v>
      </c>
      <c r="AD102" s="4">
        <v>35</v>
      </c>
      <c r="AE102" s="4">
        <v>24</v>
      </c>
      <c r="AF102" s="4">
        <v>80</v>
      </c>
      <c r="AG102" s="4">
        <v>120</v>
      </c>
      <c r="AH102" s="4">
        <v>100</v>
      </c>
      <c r="AI102" s="4">
        <v>96</v>
      </c>
      <c r="AJ102" s="4">
        <v>20</v>
      </c>
      <c r="AK102" s="4">
        <v>24</v>
      </c>
      <c r="AL102" s="4">
        <v>70</v>
      </c>
      <c r="AM102" s="4">
        <v>168</v>
      </c>
      <c r="AN102" s="4">
        <v>168</v>
      </c>
      <c r="AO102" s="4">
        <v>25</v>
      </c>
      <c r="AP102" s="4">
        <v>25</v>
      </c>
      <c r="AQ102" s="4">
        <v>20</v>
      </c>
      <c r="AR102" s="4">
        <v>20</v>
      </c>
      <c r="AS102" s="4">
        <v>140</v>
      </c>
      <c r="AT102" s="4">
        <v>35</v>
      </c>
      <c r="AU102" s="4">
        <v>5</v>
      </c>
      <c r="AV102" s="4">
        <v>120</v>
      </c>
      <c r="AW102" s="4">
        <v>70</v>
      </c>
      <c r="AX102" s="4">
        <v>20</v>
      </c>
      <c r="AY102" s="4">
        <v>30</v>
      </c>
      <c r="AZ102" s="4">
        <v>20</v>
      </c>
      <c r="BA102" s="4">
        <v>80</v>
      </c>
      <c r="BB102" s="4">
        <v>200</v>
      </c>
      <c r="BC102" s="4">
        <v>24</v>
      </c>
      <c r="BD102" s="4">
        <v>100</v>
      </c>
      <c r="BE102" s="4">
        <v>35</v>
      </c>
      <c r="BF102" s="4">
        <v>100</v>
      </c>
      <c r="BG102" s="26"/>
      <c r="BH102" s="26"/>
      <c r="BI102" s="26"/>
      <c r="BJ102" s="26"/>
      <c r="BK102" s="26"/>
      <c r="BL102" s="26"/>
      <c r="BM102" s="26"/>
      <c r="BN102" s="26"/>
      <c r="BO102" s="26"/>
      <c r="BP102" s="26"/>
      <c r="BQ102" s="26"/>
      <c r="BR102" s="26"/>
      <c r="BS102" s="26"/>
      <c r="BT102" s="26"/>
      <c r="BU102" s="26"/>
      <c r="BV102" s="26"/>
      <c r="BW102" s="26"/>
      <c r="BX102" s="26"/>
      <c r="BY102" s="26"/>
      <c r="BZ102" s="26"/>
      <c r="CA102" s="26"/>
      <c r="CB102" s="26"/>
      <c r="CC102" s="26"/>
      <c r="CD102" s="26"/>
      <c r="CE102" s="26"/>
      <c r="CF102" s="26"/>
      <c r="CG102" s="26"/>
      <c r="CH102" s="26"/>
      <c r="CI102" s="26"/>
      <c r="CJ102" s="26"/>
      <c r="CK102" s="26"/>
      <c r="CL102" s="26"/>
      <c r="CM102" s="26"/>
      <c r="CN102" s="26"/>
      <c r="CO102" s="26"/>
      <c r="CP102" s="26"/>
      <c r="CQ102" s="26"/>
      <c r="CR102" s="26"/>
      <c r="CS102" s="26"/>
      <c r="CT102" s="26"/>
      <c r="CU102" s="26"/>
      <c r="CV102" s="26"/>
      <c r="CW102" s="26"/>
      <c r="CX102" s="26"/>
      <c r="CY102" s="26"/>
      <c r="CZ102" s="26"/>
      <c r="DA102" s="26"/>
      <c r="DB102" s="26"/>
      <c r="DC102" s="26"/>
      <c r="DD102" s="26"/>
    </row>
    <row r="103" spans="8:108" x14ac:dyDescent="0.2">
      <c r="H103" s="27" t="s">
        <v>70</v>
      </c>
      <c r="I103">
        <f>SUM(I3:I102)</f>
        <v>6279</v>
      </c>
      <c r="J103">
        <f t="shared" ref="J103:BF103" si="2">SUM(J3:J102)</f>
        <v>6534</v>
      </c>
      <c r="K103">
        <f t="shared" si="2"/>
        <v>5971</v>
      </c>
      <c r="L103">
        <f t="shared" si="2"/>
        <v>5827</v>
      </c>
      <c r="M103">
        <f t="shared" si="2"/>
        <v>6498</v>
      </c>
      <c r="N103">
        <f t="shared" si="2"/>
        <v>5972</v>
      </c>
      <c r="O103">
        <f t="shared" si="2"/>
        <v>6212</v>
      </c>
      <c r="P103">
        <f t="shared" si="2"/>
        <v>6669</v>
      </c>
      <c r="Q103">
        <f t="shared" si="2"/>
        <v>6618</v>
      </c>
      <c r="R103">
        <f t="shared" si="2"/>
        <v>6123</v>
      </c>
      <c r="S103">
        <f t="shared" si="2"/>
        <v>6114</v>
      </c>
      <c r="T103">
        <f t="shared" si="2"/>
        <v>6449</v>
      </c>
      <c r="U103">
        <f t="shared" si="2"/>
        <v>6273</v>
      </c>
      <c r="V103">
        <f t="shared" si="2"/>
        <v>5896</v>
      </c>
      <c r="W103">
        <f t="shared" si="2"/>
        <v>5764</v>
      </c>
      <c r="X103">
        <f t="shared" si="2"/>
        <v>5926</v>
      </c>
      <c r="Y103">
        <f t="shared" si="2"/>
        <v>6907</v>
      </c>
      <c r="Z103">
        <f t="shared" si="2"/>
        <v>7141</v>
      </c>
      <c r="AA103">
        <f t="shared" si="2"/>
        <v>6775</v>
      </c>
      <c r="AB103">
        <f t="shared" si="2"/>
        <v>6714</v>
      </c>
      <c r="AC103">
        <f t="shared" si="2"/>
        <v>6183</v>
      </c>
      <c r="AD103">
        <f t="shared" si="2"/>
        <v>6567</v>
      </c>
      <c r="AE103">
        <f t="shared" si="2"/>
        <v>5191</v>
      </c>
      <c r="AF103">
        <f t="shared" si="2"/>
        <v>6922</v>
      </c>
      <c r="AG103">
        <f t="shared" si="2"/>
        <v>7036</v>
      </c>
      <c r="AH103">
        <f t="shared" si="2"/>
        <v>6267</v>
      </c>
      <c r="AI103">
        <f t="shared" si="2"/>
        <v>6116</v>
      </c>
      <c r="AJ103">
        <f t="shared" si="2"/>
        <v>6585</v>
      </c>
      <c r="AK103">
        <f t="shared" si="2"/>
        <v>6697</v>
      </c>
      <c r="AL103">
        <f t="shared" si="2"/>
        <v>6107</v>
      </c>
      <c r="AM103">
        <f t="shared" si="2"/>
        <v>6091</v>
      </c>
      <c r="AN103">
        <f t="shared" si="2"/>
        <v>6429</v>
      </c>
      <c r="AO103">
        <f t="shared" si="2"/>
        <v>6357</v>
      </c>
      <c r="AP103">
        <f t="shared" si="2"/>
        <v>6316</v>
      </c>
      <c r="AQ103">
        <f t="shared" si="2"/>
        <v>7406</v>
      </c>
      <c r="AR103">
        <f t="shared" si="2"/>
        <v>6740</v>
      </c>
      <c r="AS103">
        <f t="shared" si="2"/>
        <v>6806</v>
      </c>
      <c r="AT103">
        <f t="shared" si="2"/>
        <v>6442</v>
      </c>
      <c r="AU103">
        <f t="shared" si="2"/>
        <v>7264</v>
      </c>
      <c r="AV103">
        <f t="shared" si="2"/>
        <v>7181</v>
      </c>
      <c r="AW103">
        <f t="shared" si="2"/>
        <v>6036</v>
      </c>
      <c r="AX103">
        <f t="shared" si="2"/>
        <v>6840</v>
      </c>
      <c r="AY103">
        <f t="shared" si="2"/>
        <v>6411</v>
      </c>
      <c r="AZ103">
        <f t="shared" si="2"/>
        <v>6420</v>
      </c>
      <c r="BA103">
        <f t="shared" si="2"/>
        <v>5434</v>
      </c>
      <c r="BB103">
        <f t="shared" si="2"/>
        <v>6547</v>
      </c>
      <c r="BC103">
        <f t="shared" si="2"/>
        <v>6622</v>
      </c>
      <c r="BD103">
        <f t="shared" si="2"/>
        <v>7114</v>
      </c>
      <c r="BE103">
        <f t="shared" si="2"/>
        <v>6734</v>
      </c>
      <c r="BF103">
        <f t="shared" si="2"/>
        <v>6534</v>
      </c>
      <c r="BG103" s="26"/>
      <c r="BH103" s="26"/>
      <c r="BI103" s="26"/>
      <c r="BJ103" s="26"/>
      <c r="BK103" s="26"/>
      <c r="BL103" s="26"/>
      <c r="BM103" s="26"/>
      <c r="BN103" s="26"/>
      <c r="BO103" s="26"/>
      <c r="BP103" s="26"/>
      <c r="BQ103" s="26"/>
      <c r="BR103" s="26"/>
      <c r="BS103" s="26"/>
      <c r="BT103" s="26"/>
      <c r="BU103" s="26"/>
      <c r="BV103" s="26"/>
      <c r="BW103" s="26"/>
      <c r="BX103" s="26"/>
      <c r="BY103" s="26"/>
      <c r="BZ103" s="26"/>
      <c r="CA103" s="26"/>
      <c r="CB103" s="26"/>
      <c r="CC103" s="26"/>
      <c r="CD103" s="26"/>
      <c r="CE103" s="26"/>
      <c r="CF103" s="26"/>
      <c r="CG103" s="26"/>
      <c r="CH103" s="26"/>
      <c r="CI103" s="26"/>
      <c r="CJ103" s="26"/>
      <c r="CK103" s="26"/>
      <c r="CL103" s="26"/>
      <c r="CM103" s="26"/>
      <c r="CN103" s="26"/>
      <c r="CO103" s="26"/>
      <c r="CP103" s="26"/>
      <c r="CQ103" s="26"/>
      <c r="CR103" s="26"/>
      <c r="CS103" s="26"/>
      <c r="CT103" s="26"/>
      <c r="CU103" s="26"/>
      <c r="CV103" s="26"/>
      <c r="CW103" s="26"/>
      <c r="CX103" s="26"/>
      <c r="CY103" s="26"/>
      <c r="CZ103" s="26"/>
      <c r="DA103" s="26"/>
      <c r="DB103" s="26"/>
      <c r="DC103" s="26"/>
      <c r="DD103" s="26"/>
    </row>
    <row r="104" spans="8:108" x14ac:dyDescent="0.2">
      <c r="BG104" s="26"/>
      <c r="BH104" s="26"/>
      <c r="BI104" s="26"/>
      <c r="BJ104" s="26"/>
      <c r="BK104" s="26"/>
      <c r="BL104" s="26"/>
      <c r="BM104" s="26"/>
      <c r="BN104" s="26"/>
      <c r="BO104" s="26"/>
      <c r="BP104" s="26"/>
      <c r="BQ104" s="26"/>
      <c r="BR104" s="26"/>
      <c r="BS104" s="26"/>
      <c r="BT104" s="26"/>
      <c r="BU104" s="26"/>
      <c r="BV104" s="26"/>
      <c r="BW104" s="26"/>
      <c r="BX104" s="26"/>
      <c r="BY104" s="26"/>
      <c r="BZ104" s="26"/>
      <c r="CA104" s="26"/>
      <c r="CB104" s="26"/>
      <c r="CC104" s="26"/>
      <c r="CD104" s="26"/>
      <c r="CE104" s="26"/>
      <c r="CF104" s="26"/>
      <c r="CG104" s="26"/>
      <c r="CH104" s="26"/>
      <c r="CI104" s="26"/>
      <c r="CJ104" s="26"/>
      <c r="CK104" s="26"/>
      <c r="CL104" s="26"/>
      <c r="CM104" s="26"/>
      <c r="CN104" s="26"/>
      <c r="CO104" s="26"/>
      <c r="CP104" s="26"/>
      <c r="CQ104" s="26"/>
      <c r="CR104" s="26"/>
      <c r="CS104" s="26"/>
      <c r="CT104" s="26"/>
      <c r="CU104" s="26"/>
      <c r="CV104" s="26"/>
      <c r="CW104" s="26"/>
      <c r="CX104" s="26"/>
      <c r="CY104" s="26"/>
      <c r="CZ104" s="26"/>
      <c r="DA104" s="26"/>
      <c r="DB104" s="26"/>
      <c r="DC104" s="26"/>
      <c r="DD104" s="26"/>
    </row>
    <row r="105" spans="8:108" x14ac:dyDescent="0.2">
      <c r="BG105" s="26"/>
      <c r="BH105" s="26"/>
      <c r="BI105" s="26"/>
      <c r="BJ105" s="26"/>
      <c r="BK105" s="26"/>
      <c r="BL105" s="26"/>
      <c r="BM105" s="26"/>
      <c r="BN105" s="26"/>
      <c r="BO105" s="26"/>
      <c r="BP105" s="26"/>
      <c r="BQ105" s="26"/>
      <c r="BR105" s="26"/>
      <c r="BS105" s="26"/>
      <c r="BT105" s="26"/>
      <c r="BU105" s="26"/>
      <c r="BV105" s="26"/>
      <c r="BW105" s="26"/>
      <c r="BX105" s="26"/>
      <c r="BY105" s="26"/>
      <c r="BZ105" s="26"/>
      <c r="CA105" s="26"/>
      <c r="CB105" s="26"/>
      <c r="CC105" s="26"/>
      <c r="CD105" s="26"/>
      <c r="CE105" s="26"/>
      <c r="CF105" s="26"/>
      <c r="CG105" s="26"/>
      <c r="CH105" s="26"/>
      <c r="CI105" s="26"/>
      <c r="CJ105" s="26"/>
      <c r="CK105" s="26"/>
      <c r="CL105" s="26"/>
      <c r="CM105" s="26"/>
      <c r="CN105" s="26"/>
      <c r="CO105" s="26"/>
      <c r="CP105" s="26"/>
      <c r="CQ105" s="26"/>
      <c r="CR105" s="26"/>
      <c r="CS105" s="26"/>
      <c r="CT105" s="26"/>
      <c r="CU105" s="26"/>
      <c r="CV105" s="26"/>
      <c r="CW105" s="26"/>
      <c r="CX105" s="26"/>
      <c r="CY105" s="26"/>
      <c r="CZ105" s="26"/>
      <c r="DA105" s="26"/>
      <c r="DB105" s="26"/>
      <c r="DC105" s="26"/>
      <c r="DD105" s="26"/>
    </row>
    <row r="106" spans="8:108" x14ac:dyDescent="0.2">
      <c r="H106" s="27" t="s">
        <v>90</v>
      </c>
      <c r="I106">
        <f>AVERAGE(I103:BF103)</f>
        <v>6441.14</v>
      </c>
      <c r="BG106" s="26"/>
      <c r="BH106" s="26"/>
      <c r="BI106" s="26"/>
      <c r="BJ106" s="26"/>
      <c r="BK106" s="26"/>
      <c r="BL106" s="26"/>
      <c r="BM106" s="26"/>
      <c r="BN106" s="26"/>
      <c r="BO106" s="26"/>
      <c r="BP106" s="26"/>
      <c r="BQ106" s="26"/>
      <c r="BR106" s="26"/>
      <c r="BS106" s="26"/>
      <c r="BT106" s="26"/>
      <c r="BU106" s="26"/>
      <c r="BV106" s="26"/>
      <c r="BW106" s="26"/>
      <c r="BX106" s="26"/>
      <c r="BY106" s="26"/>
      <c r="BZ106" s="26"/>
      <c r="CA106" s="26"/>
      <c r="CB106" s="26"/>
      <c r="CC106" s="26"/>
      <c r="CD106" s="26"/>
      <c r="CE106" s="26"/>
      <c r="CF106" s="26"/>
      <c r="CG106" s="26"/>
      <c r="CH106" s="26"/>
      <c r="CI106" s="26"/>
      <c r="CJ106" s="26"/>
      <c r="CK106" s="26"/>
      <c r="CL106" s="26"/>
      <c r="CM106" s="26"/>
      <c r="CN106" s="26"/>
      <c r="CO106" s="26"/>
      <c r="CP106" s="26"/>
      <c r="CQ106" s="26"/>
      <c r="CR106" s="26"/>
      <c r="CS106" s="26"/>
      <c r="CT106" s="26"/>
      <c r="CU106" s="26"/>
      <c r="CV106" s="26"/>
      <c r="CW106" s="26"/>
      <c r="CX106" s="26"/>
      <c r="CY106" s="26"/>
      <c r="CZ106" s="26"/>
      <c r="DA106" s="26"/>
      <c r="DB106" s="26"/>
      <c r="DC106" s="26"/>
      <c r="DD106" s="26"/>
    </row>
    <row r="107" spans="8:108" x14ac:dyDescent="0.2">
      <c r="H107" s="27" t="s">
        <v>91</v>
      </c>
      <c r="I107">
        <f>STDEV(I103:BF103)</f>
        <v>455.35619652562724</v>
      </c>
      <c r="BG107" s="26"/>
      <c r="BH107" s="26"/>
      <c r="BI107" s="26"/>
      <c r="BJ107" s="26"/>
      <c r="BK107" s="26"/>
      <c r="BL107" s="26"/>
      <c r="BM107" s="26"/>
      <c r="BN107" s="26"/>
      <c r="BO107" s="26"/>
      <c r="BP107" s="26"/>
      <c r="BQ107" s="26"/>
      <c r="BR107" s="26"/>
      <c r="BS107" s="26"/>
      <c r="BT107" s="26"/>
      <c r="BU107" s="26"/>
      <c r="BV107" s="26"/>
      <c r="BW107" s="26"/>
      <c r="BX107" s="26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K107" s="26"/>
      <c r="CL107" s="26"/>
      <c r="CM107" s="26"/>
      <c r="CN107" s="26"/>
      <c r="CO107" s="26"/>
      <c r="CP107" s="26"/>
      <c r="CQ107" s="26"/>
      <c r="CR107" s="26"/>
      <c r="CS107" s="26"/>
      <c r="CT107" s="26"/>
      <c r="CU107" s="26"/>
      <c r="CV107" s="26"/>
      <c r="CW107" s="26"/>
      <c r="CX107" s="26"/>
      <c r="CY107" s="26"/>
      <c r="CZ107" s="26"/>
      <c r="DA107" s="26"/>
      <c r="DB107" s="26"/>
      <c r="DC107" s="26"/>
      <c r="DD107" s="26"/>
    </row>
    <row r="108" spans="8:108" x14ac:dyDescent="0.2">
      <c r="H108" s="27" t="s">
        <v>92</v>
      </c>
      <c r="I108">
        <f>MAX(I103:BF103)</f>
        <v>7406</v>
      </c>
      <c r="BG108" s="26"/>
      <c r="BH108" s="26"/>
      <c r="BI108" s="26"/>
      <c r="BJ108" s="26"/>
      <c r="BK108" s="26"/>
      <c r="BL108" s="26"/>
      <c r="BM108" s="26"/>
      <c r="BN108" s="26"/>
      <c r="BO108" s="26"/>
      <c r="BP108" s="26"/>
      <c r="BQ108" s="26"/>
      <c r="BR108" s="26"/>
      <c r="BS108" s="26"/>
      <c r="BT108" s="26"/>
      <c r="BU108" s="26"/>
      <c r="BV108" s="26"/>
      <c r="BW108" s="26"/>
      <c r="BX108" s="26"/>
      <c r="BY108" s="26"/>
      <c r="BZ108" s="26"/>
      <c r="CA108" s="26"/>
      <c r="CB108" s="26"/>
      <c r="CC108" s="26"/>
      <c r="CD108" s="26"/>
      <c r="CE108" s="26"/>
      <c r="CF108" s="26"/>
      <c r="CG108" s="26"/>
      <c r="CH108" s="26"/>
      <c r="CI108" s="26"/>
      <c r="CJ108" s="26"/>
      <c r="CK108" s="26"/>
      <c r="CL108" s="26"/>
      <c r="CM108" s="26"/>
      <c r="CN108" s="26"/>
      <c r="CO108" s="26"/>
      <c r="CP108" s="26"/>
      <c r="CQ108" s="26"/>
      <c r="CR108" s="26"/>
      <c r="CS108" s="26"/>
      <c r="CT108" s="26"/>
      <c r="CU108" s="26"/>
      <c r="CV108" s="26"/>
      <c r="CW108" s="26"/>
      <c r="CX108" s="26"/>
      <c r="CY108" s="26"/>
      <c r="CZ108" s="26"/>
      <c r="DA108" s="26"/>
      <c r="DB108" s="26"/>
      <c r="DC108" s="26"/>
      <c r="DD108" s="26"/>
    </row>
    <row r="109" spans="8:108" x14ac:dyDescent="0.2">
      <c r="H109" s="27" t="s">
        <v>93</v>
      </c>
      <c r="I109">
        <f>MIN(I103:BF103)</f>
        <v>5191</v>
      </c>
      <c r="BG109" s="26"/>
      <c r="BH109" s="26"/>
      <c r="BI109" s="26"/>
      <c r="BJ109" s="26"/>
      <c r="BK109" s="26"/>
      <c r="BL109" s="26"/>
      <c r="BM109" s="26"/>
      <c r="BN109" s="26"/>
      <c r="BO109" s="26"/>
      <c r="BP109" s="26"/>
      <c r="BQ109" s="26"/>
      <c r="BR109" s="26"/>
      <c r="BS109" s="26"/>
      <c r="BT109" s="26"/>
      <c r="BU109" s="26"/>
      <c r="BV109" s="26"/>
      <c r="BW109" s="26"/>
      <c r="BX109" s="26"/>
      <c r="BY109" s="26"/>
      <c r="BZ109" s="26"/>
      <c r="CA109" s="26"/>
      <c r="CB109" s="26"/>
      <c r="CC109" s="26"/>
      <c r="CD109" s="26"/>
      <c r="CE109" s="26"/>
      <c r="CF109" s="26"/>
      <c r="CG109" s="26"/>
      <c r="CH109" s="26"/>
      <c r="CI109" s="26"/>
      <c r="CJ109" s="26"/>
      <c r="CK109" s="26"/>
      <c r="CL109" s="26"/>
      <c r="CM109" s="26"/>
      <c r="CN109" s="26"/>
      <c r="CO109" s="26"/>
      <c r="CP109" s="26"/>
      <c r="CQ109" s="26"/>
      <c r="CR109" s="26"/>
      <c r="CS109" s="26"/>
      <c r="CT109" s="26"/>
      <c r="CU109" s="26"/>
      <c r="CV109" s="26"/>
      <c r="CW109" s="26"/>
      <c r="CX109" s="26"/>
      <c r="CY109" s="26"/>
      <c r="CZ109" s="26"/>
      <c r="DA109" s="26"/>
      <c r="DB109" s="26"/>
      <c r="DC109" s="26"/>
      <c r="DD109" s="26"/>
    </row>
    <row r="110" spans="8:108" x14ac:dyDescent="0.2">
      <c r="BG110" s="26"/>
      <c r="BH110" s="26"/>
      <c r="BI110" s="26"/>
      <c r="BJ110" s="26"/>
      <c r="BK110" s="26"/>
      <c r="BL110" s="26"/>
      <c r="BM110" s="26"/>
      <c r="BN110" s="26"/>
      <c r="BO110" s="26"/>
      <c r="BP110" s="26"/>
      <c r="BQ110" s="26"/>
      <c r="BR110" s="26"/>
      <c r="BS110" s="26"/>
      <c r="BT110" s="26"/>
      <c r="BU110" s="26"/>
      <c r="BV110" s="26"/>
      <c r="BW110" s="26"/>
      <c r="BX110" s="26"/>
      <c r="BY110" s="26"/>
      <c r="BZ110" s="26"/>
      <c r="CA110" s="26"/>
      <c r="CB110" s="26"/>
      <c r="CC110" s="26"/>
      <c r="CD110" s="26"/>
      <c r="CE110" s="26"/>
      <c r="CF110" s="26"/>
      <c r="CG110" s="26"/>
      <c r="CH110" s="26"/>
      <c r="CI110" s="26"/>
      <c r="CJ110" s="26"/>
      <c r="CK110" s="26"/>
      <c r="CL110" s="26"/>
      <c r="CM110" s="26"/>
      <c r="CN110" s="26"/>
      <c r="CO110" s="26"/>
      <c r="CP110" s="26"/>
      <c r="CQ110" s="26"/>
      <c r="CR110" s="26"/>
      <c r="CS110" s="26"/>
      <c r="CT110" s="26"/>
      <c r="CU110" s="26"/>
      <c r="CV110" s="26"/>
      <c r="CW110" s="26"/>
      <c r="CX110" s="26"/>
      <c r="CY110" s="26"/>
      <c r="CZ110" s="26"/>
      <c r="DA110" s="26"/>
      <c r="DB110" s="26"/>
      <c r="DC110" s="26"/>
      <c r="DD110" s="26"/>
    </row>
    <row r="111" spans="8:108" x14ac:dyDescent="0.2">
      <c r="BG111" s="26"/>
      <c r="BH111" s="26"/>
      <c r="BI111" s="26"/>
      <c r="BJ111" s="26"/>
      <c r="BK111" s="26"/>
      <c r="BL111" s="26"/>
      <c r="BM111" s="26"/>
      <c r="BN111" s="26"/>
      <c r="BO111" s="26"/>
      <c r="BP111" s="26"/>
      <c r="BQ111" s="26"/>
      <c r="BR111" s="26"/>
      <c r="BS111" s="26"/>
      <c r="BT111" s="26"/>
      <c r="BU111" s="26"/>
      <c r="BV111" s="26"/>
      <c r="BW111" s="26"/>
      <c r="BX111" s="26"/>
      <c r="BY111" s="26"/>
      <c r="BZ111" s="26"/>
      <c r="CA111" s="26"/>
      <c r="CB111" s="26"/>
      <c r="CC111" s="26"/>
      <c r="CD111" s="26"/>
      <c r="CE111" s="26"/>
      <c r="CF111" s="26"/>
      <c r="CG111" s="26"/>
      <c r="CH111" s="26"/>
      <c r="CI111" s="26"/>
      <c r="CJ111" s="26"/>
      <c r="CK111" s="26"/>
      <c r="CL111" s="26"/>
      <c r="CM111" s="26"/>
      <c r="CN111" s="26"/>
      <c r="CO111" s="26"/>
      <c r="CP111" s="26"/>
      <c r="CQ111" s="26"/>
      <c r="CR111" s="26"/>
      <c r="CS111" s="26"/>
      <c r="CT111" s="26"/>
      <c r="CU111" s="26"/>
      <c r="CV111" s="26"/>
      <c r="CW111" s="26"/>
      <c r="CX111" s="26"/>
      <c r="CY111" s="26"/>
      <c r="CZ111" s="26"/>
      <c r="DA111" s="26"/>
      <c r="DB111" s="26"/>
      <c r="DC111" s="26"/>
      <c r="DD111" s="26"/>
    </row>
    <row r="112" spans="8:108" x14ac:dyDescent="0.2">
      <c r="BG112" s="26"/>
      <c r="BH112" s="26"/>
      <c r="BI112" s="26"/>
      <c r="BJ112" s="26"/>
      <c r="BK112" s="26"/>
      <c r="BL112" s="26"/>
      <c r="BM112" s="26"/>
      <c r="BN112" s="26"/>
      <c r="BO112" s="26"/>
      <c r="BP112" s="26"/>
      <c r="BQ112" s="26"/>
      <c r="BR112" s="26"/>
      <c r="BS112" s="26"/>
      <c r="BT112" s="26"/>
      <c r="BU112" s="26"/>
      <c r="BV112" s="26"/>
      <c r="BW112" s="26"/>
      <c r="BX112" s="26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26"/>
      <c r="CP112" s="26"/>
      <c r="CQ112" s="26"/>
      <c r="CR112" s="26"/>
      <c r="CS112" s="26"/>
      <c r="CT112" s="26"/>
      <c r="CU112" s="26"/>
      <c r="CV112" s="26"/>
      <c r="CW112" s="26"/>
      <c r="CX112" s="26"/>
      <c r="CY112" s="26"/>
      <c r="CZ112" s="26"/>
      <c r="DA112" s="26"/>
      <c r="DB112" s="26"/>
      <c r="DC112" s="26"/>
      <c r="DD112" s="26"/>
    </row>
    <row r="113" spans="59:108" x14ac:dyDescent="0.2">
      <c r="BG113" s="26"/>
      <c r="BH113" s="26"/>
      <c r="BI113" s="26"/>
      <c r="BJ113" s="26"/>
      <c r="BK113" s="26"/>
      <c r="BL113" s="26"/>
      <c r="BM113" s="26"/>
      <c r="BN113" s="26"/>
      <c r="BO113" s="26"/>
      <c r="BP113" s="26"/>
      <c r="BQ113" s="26"/>
      <c r="BR113" s="26"/>
      <c r="BS113" s="26"/>
      <c r="BT113" s="26"/>
      <c r="BU113" s="26"/>
      <c r="BV113" s="26"/>
      <c r="BW113" s="26"/>
      <c r="BX113" s="26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26"/>
      <c r="CP113" s="26"/>
      <c r="CQ113" s="26"/>
      <c r="CR113" s="26"/>
      <c r="CS113" s="26"/>
      <c r="CT113" s="26"/>
      <c r="CU113" s="26"/>
      <c r="CV113" s="26"/>
      <c r="CW113" s="26"/>
      <c r="CX113" s="26"/>
      <c r="CY113" s="26"/>
      <c r="CZ113" s="26"/>
      <c r="DA113" s="26"/>
      <c r="DB113" s="26"/>
      <c r="DC113" s="26"/>
      <c r="DD113" s="26"/>
    </row>
    <row r="114" spans="59:108" x14ac:dyDescent="0.2">
      <c r="BG114" s="26"/>
      <c r="BH114" s="26"/>
      <c r="BI114" s="26"/>
      <c r="BJ114" s="26"/>
      <c r="BK114" s="26"/>
      <c r="BL114" s="26"/>
      <c r="BM114" s="26"/>
      <c r="BN114" s="26"/>
      <c r="BO114" s="26"/>
      <c r="BP114" s="26"/>
      <c r="BQ114" s="26"/>
      <c r="BR114" s="26"/>
      <c r="BS114" s="26"/>
      <c r="BT114" s="26"/>
      <c r="BU114" s="26"/>
      <c r="BV114" s="26"/>
      <c r="BW114" s="26"/>
      <c r="BX114" s="26"/>
      <c r="BY114" s="26"/>
      <c r="BZ114" s="26"/>
      <c r="CA114" s="26"/>
      <c r="CB114" s="26"/>
      <c r="CC114" s="26"/>
      <c r="CD114" s="26"/>
      <c r="CE114" s="26"/>
      <c r="CF114" s="26"/>
      <c r="CG114" s="26"/>
      <c r="CH114" s="26"/>
      <c r="CI114" s="26"/>
      <c r="CJ114" s="26"/>
      <c r="CK114" s="26"/>
      <c r="CL114" s="26"/>
      <c r="CM114" s="26"/>
      <c r="CN114" s="26"/>
      <c r="CO114" s="26"/>
      <c r="CP114" s="26"/>
      <c r="CQ114" s="26"/>
      <c r="CR114" s="26"/>
      <c r="CS114" s="26"/>
      <c r="CT114" s="26"/>
      <c r="CU114" s="26"/>
      <c r="CV114" s="26"/>
      <c r="CW114" s="26"/>
      <c r="CX114" s="26"/>
      <c r="CY114" s="26"/>
      <c r="CZ114" s="26"/>
      <c r="DA114" s="26"/>
      <c r="DB114" s="26"/>
      <c r="DC114" s="26"/>
      <c r="DD114" s="26"/>
    </row>
    <row r="115" spans="59:108" x14ac:dyDescent="0.2">
      <c r="BG115" s="26"/>
      <c r="BH115" s="26"/>
      <c r="BI115" s="26"/>
      <c r="BJ115" s="26"/>
      <c r="BK115" s="26"/>
      <c r="BL115" s="26"/>
      <c r="BM115" s="26"/>
      <c r="BN115" s="26"/>
      <c r="BO115" s="26"/>
      <c r="BP115" s="26"/>
      <c r="BQ115" s="26"/>
      <c r="BR115" s="26"/>
      <c r="BS115" s="26"/>
      <c r="BT115" s="26"/>
      <c r="BU115" s="26"/>
      <c r="BV115" s="26"/>
      <c r="BW115" s="26"/>
      <c r="BX115" s="26"/>
      <c r="BY115" s="26"/>
      <c r="BZ115" s="26"/>
      <c r="CA115" s="26"/>
      <c r="CB115" s="26"/>
      <c r="CC115" s="26"/>
      <c r="CD115" s="26"/>
      <c r="CE115" s="26"/>
      <c r="CF115" s="26"/>
      <c r="CG115" s="26"/>
      <c r="CH115" s="26"/>
      <c r="CI115" s="26"/>
      <c r="CJ115" s="26"/>
      <c r="CK115" s="26"/>
      <c r="CL115" s="26"/>
      <c r="CM115" s="26"/>
      <c r="CN115" s="26"/>
      <c r="CO115" s="26"/>
      <c r="CP115" s="26"/>
      <c r="CQ115" s="26"/>
      <c r="CR115" s="26"/>
      <c r="CS115" s="26"/>
      <c r="CT115" s="26"/>
      <c r="CU115" s="26"/>
      <c r="CV115" s="26"/>
      <c r="CW115" s="26"/>
      <c r="CX115" s="26"/>
      <c r="CY115" s="26"/>
      <c r="CZ115" s="26"/>
      <c r="DA115" s="26"/>
      <c r="DB115" s="26"/>
      <c r="DC115" s="26"/>
      <c r="DD115" s="26"/>
    </row>
    <row r="116" spans="59:108" x14ac:dyDescent="0.2">
      <c r="BG116" s="26"/>
      <c r="BH116" s="26"/>
      <c r="BI116" s="26"/>
      <c r="BJ116" s="26"/>
      <c r="BK116" s="26"/>
      <c r="BL116" s="26"/>
      <c r="BM116" s="26"/>
      <c r="BN116" s="26"/>
      <c r="BO116" s="26"/>
      <c r="BP116" s="26"/>
      <c r="BQ116" s="26"/>
      <c r="BR116" s="26"/>
      <c r="BS116" s="26"/>
      <c r="BT116" s="26"/>
      <c r="BU116" s="26"/>
      <c r="BV116" s="26"/>
      <c r="BW116" s="26"/>
      <c r="BX116" s="26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K116" s="26"/>
      <c r="CL116" s="26"/>
      <c r="CM116" s="26"/>
      <c r="CN116" s="26"/>
      <c r="CO116" s="26"/>
      <c r="CP116" s="26"/>
      <c r="CQ116" s="26"/>
      <c r="CR116" s="26"/>
      <c r="CS116" s="26"/>
      <c r="CT116" s="26"/>
      <c r="CU116" s="26"/>
      <c r="CV116" s="26"/>
      <c r="CW116" s="26"/>
      <c r="CX116" s="26"/>
      <c r="CY116" s="26"/>
      <c r="CZ116" s="26"/>
      <c r="DA116" s="26"/>
      <c r="DB116" s="26"/>
      <c r="DC116" s="26"/>
      <c r="DD116" s="26"/>
    </row>
    <row r="117" spans="59:108" x14ac:dyDescent="0.2">
      <c r="BG117" s="26"/>
      <c r="BH117" s="26"/>
      <c r="BI117" s="26"/>
      <c r="BJ117" s="26"/>
      <c r="BK117" s="26"/>
      <c r="BL117" s="26"/>
      <c r="BM117" s="26"/>
      <c r="BN117" s="26"/>
      <c r="BO117" s="26"/>
      <c r="BP117" s="26"/>
      <c r="BQ117" s="26"/>
      <c r="BR117" s="26"/>
      <c r="BS117" s="26"/>
      <c r="BT117" s="26"/>
      <c r="BU117" s="26"/>
      <c r="BV117" s="26"/>
      <c r="BW117" s="26"/>
      <c r="BX117" s="26"/>
      <c r="BY117" s="26"/>
      <c r="BZ117" s="26"/>
      <c r="CA117" s="26"/>
      <c r="CB117" s="26"/>
      <c r="CC117" s="26"/>
      <c r="CD117" s="26"/>
      <c r="CE117" s="26"/>
      <c r="CF117" s="26"/>
      <c r="CG117" s="26"/>
      <c r="CH117" s="26"/>
      <c r="CI117" s="26"/>
      <c r="CJ117" s="26"/>
      <c r="CK117" s="26"/>
      <c r="CL117" s="26"/>
      <c r="CM117" s="26"/>
      <c r="CN117" s="26"/>
      <c r="CO117" s="26"/>
      <c r="CP117" s="26"/>
      <c r="CQ117" s="26"/>
      <c r="CR117" s="26"/>
      <c r="CS117" s="26"/>
      <c r="CT117" s="26"/>
      <c r="CU117" s="26"/>
      <c r="CV117" s="26"/>
      <c r="CW117" s="26"/>
      <c r="CX117" s="26"/>
      <c r="CY117" s="26"/>
      <c r="CZ117" s="26"/>
      <c r="DA117" s="26"/>
      <c r="DB117" s="26"/>
      <c r="DC117" s="26"/>
      <c r="DD117" s="26"/>
    </row>
    <row r="118" spans="59:108" x14ac:dyDescent="0.2">
      <c r="BG118" s="26"/>
      <c r="BH118" s="26"/>
      <c r="BI118" s="26"/>
      <c r="BJ118" s="26"/>
      <c r="BK118" s="26"/>
      <c r="BL118" s="26"/>
      <c r="BM118" s="26"/>
      <c r="BN118" s="26"/>
      <c r="BO118" s="26"/>
      <c r="BP118" s="26"/>
      <c r="BQ118" s="26"/>
      <c r="BR118" s="26"/>
      <c r="BS118" s="26"/>
      <c r="BT118" s="26"/>
      <c r="BU118" s="26"/>
      <c r="BV118" s="26"/>
      <c r="BW118" s="26"/>
      <c r="BX118" s="26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26"/>
      <c r="CP118" s="26"/>
      <c r="CQ118" s="26"/>
      <c r="CR118" s="26"/>
      <c r="CS118" s="26"/>
      <c r="CT118" s="26"/>
      <c r="CU118" s="26"/>
      <c r="CV118" s="26"/>
      <c r="CW118" s="26"/>
      <c r="CX118" s="26"/>
      <c r="CY118" s="26"/>
      <c r="CZ118" s="26"/>
      <c r="DA118" s="26"/>
      <c r="DB118" s="26"/>
      <c r="DC118" s="26"/>
      <c r="DD118" s="26"/>
    </row>
    <row r="119" spans="59:108" x14ac:dyDescent="0.2">
      <c r="BG119" s="26"/>
      <c r="BH119" s="26"/>
      <c r="BI119" s="26"/>
      <c r="BJ119" s="26"/>
      <c r="BK119" s="26"/>
      <c r="BL119" s="26"/>
      <c r="BM119" s="26"/>
      <c r="BN119" s="26"/>
      <c r="BO119" s="26"/>
      <c r="BP119" s="26"/>
      <c r="BQ119" s="26"/>
      <c r="BR119" s="26"/>
      <c r="BS119" s="26"/>
      <c r="BT119" s="26"/>
      <c r="BU119" s="26"/>
      <c r="BV119" s="26"/>
      <c r="BW119" s="26"/>
      <c r="BX119" s="26"/>
      <c r="BY119" s="26"/>
      <c r="BZ119" s="26"/>
      <c r="CA119" s="26"/>
      <c r="CB119" s="26"/>
      <c r="CC119" s="26"/>
      <c r="CD119" s="26"/>
      <c r="CE119" s="26"/>
      <c r="CF119" s="26"/>
      <c r="CG119" s="26"/>
      <c r="CH119" s="26"/>
      <c r="CI119" s="26"/>
      <c r="CJ119" s="26"/>
      <c r="CK119" s="26"/>
      <c r="CL119" s="26"/>
      <c r="CM119" s="26"/>
      <c r="CN119" s="26"/>
      <c r="CO119" s="26"/>
      <c r="CP119" s="26"/>
      <c r="CQ119" s="26"/>
      <c r="CR119" s="26"/>
      <c r="CS119" s="26"/>
      <c r="CT119" s="26"/>
      <c r="CU119" s="26"/>
      <c r="CV119" s="26"/>
      <c r="CW119" s="26"/>
      <c r="CX119" s="26"/>
      <c r="CY119" s="26"/>
      <c r="CZ119" s="26"/>
      <c r="DA119" s="26"/>
      <c r="DB119" s="26"/>
      <c r="DC119" s="26"/>
      <c r="DD119" s="26"/>
    </row>
    <row r="120" spans="59:108" x14ac:dyDescent="0.2">
      <c r="BG120" s="26"/>
      <c r="BH120" s="26"/>
      <c r="BI120" s="26"/>
      <c r="BJ120" s="26"/>
      <c r="BK120" s="26"/>
      <c r="BL120" s="26"/>
      <c r="BM120" s="26"/>
      <c r="BN120" s="26"/>
      <c r="BO120" s="26"/>
      <c r="BP120" s="26"/>
      <c r="BQ120" s="26"/>
      <c r="BR120" s="26"/>
      <c r="BS120" s="26"/>
      <c r="BT120" s="26"/>
      <c r="BU120" s="26"/>
      <c r="BV120" s="26"/>
      <c r="BW120" s="26"/>
      <c r="BX120" s="26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K120" s="26"/>
      <c r="CL120" s="26"/>
      <c r="CM120" s="26"/>
      <c r="CN120" s="26"/>
      <c r="CO120" s="26"/>
      <c r="CP120" s="26"/>
      <c r="CQ120" s="26"/>
      <c r="CR120" s="26"/>
      <c r="CS120" s="26"/>
      <c r="CT120" s="26"/>
      <c r="CU120" s="26"/>
      <c r="CV120" s="26"/>
      <c r="CW120" s="26"/>
      <c r="CX120" s="26"/>
      <c r="CY120" s="26"/>
      <c r="CZ120" s="26"/>
      <c r="DA120" s="26"/>
      <c r="DB120" s="26"/>
      <c r="DC120" s="26"/>
      <c r="DD120" s="26"/>
    </row>
    <row r="121" spans="59:108" x14ac:dyDescent="0.2">
      <c r="BG121" s="26"/>
      <c r="BH121" s="26"/>
      <c r="BI121" s="26"/>
      <c r="BJ121" s="26"/>
      <c r="BK121" s="26"/>
      <c r="BL121" s="26"/>
      <c r="BM121" s="26"/>
      <c r="BN121" s="26"/>
      <c r="BO121" s="26"/>
      <c r="BP121" s="26"/>
      <c r="BQ121" s="26"/>
      <c r="BR121" s="26"/>
      <c r="BS121" s="26"/>
      <c r="BT121" s="26"/>
      <c r="BU121" s="26"/>
      <c r="BV121" s="26"/>
      <c r="BW121" s="26"/>
      <c r="BX121" s="26"/>
      <c r="BY121" s="26"/>
      <c r="BZ121" s="26"/>
      <c r="CA121" s="26"/>
      <c r="CB121" s="26"/>
      <c r="CC121" s="26"/>
      <c r="CD121" s="26"/>
      <c r="CE121" s="26"/>
      <c r="CF121" s="26"/>
      <c r="CG121" s="26"/>
      <c r="CH121" s="26"/>
      <c r="CI121" s="26"/>
      <c r="CJ121" s="26"/>
      <c r="CK121" s="26"/>
      <c r="CL121" s="26"/>
      <c r="CM121" s="26"/>
      <c r="CN121" s="26"/>
      <c r="CO121" s="26"/>
      <c r="CP121" s="26"/>
      <c r="CQ121" s="26"/>
      <c r="CR121" s="26"/>
      <c r="CS121" s="26"/>
      <c r="CT121" s="26"/>
      <c r="CU121" s="26"/>
      <c r="CV121" s="26"/>
      <c r="CW121" s="26"/>
      <c r="CX121" s="26"/>
      <c r="CY121" s="26"/>
      <c r="CZ121" s="26"/>
      <c r="DA121" s="26"/>
      <c r="DB121" s="26"/>
      <c r="DC121" s="26"/>
      <c r="DD121" s="26"/>
    </row>
    <row r="122" spans="59:108" x14ac:dyDescent="0.2">
      <c r="BG122" s="26"/>
      <c r="BH122" s="26"/>
      <c r="BI122" s="26"/>
      <c r="BJ122" s="26"/>
      <c r="BK122" s="26"/>
      <c r="BL122" s="26"/>
      <c r="BM122" s="26"/>
      <c r="BN122" s="26"/>
      <c r="BO122" s="26"/>
      <c r="BP122" s="26"/>
      <c r="BQ122" s="26"/>
      <c r="BR122" s="26"/>
      <c r="BS122" s="26"/>
      <c r="BT122" s="26"/>
      <c r="BU122" s="26"/>
      <c r="BV122" s="26"/>
      <c r="BW122" s="26"/>
      <c r="BX122" s="26"/>
      <c r="BY122" s="26"/>
      <c r="BZ122" s="26"/>
      <c r="CA122" s="26"/>
      <c r="CB122" s="26"/>
      <c r="CC122" s="26"/>
      <c r="CD122" s="26"/>
      <c r="CE122" s="26"/>
      <c r="CF122" s="26"/>
      <c r="CG122" s="26"/>
      <c r="CH122" s="26"/>
      <c r="CI122" s="26"/>
      <c r="CJ122" s="26"/>
      <c r="CK122" s="26"/>
      <c r="CL122" s="26"/>
      <c r="CM122" s="26"/>
      <c r="CN122" s="26"/>
      <c r="CO122" s="26"/>
      <c r="CP122" s="26"/>
      <c r="CQ122" s="26"/>
      <c r="CR122" s="26"/>
      <c r="CS122" s="26"/>
      <c r="CT122" s="26"/>
      <c r="CU122" s="26"/>
      <c r="CV122" s="26"/>
      <c r="CW122" s="26"/>
      <c r="CX122" s="26"/>
      <c r="CY122" s="26"/>
      <c r="CZ122" s="26"/>
      <c r="DA122" s="26"/>
      <c r="DB122" s="26"/>
      <c r="DC122" s="26"/>
      <c r="DD122" s="26"/>
    </row>
    <row r="123" spans="59:108" x14ac:dyDescent="0.2">
      <c r="BG123" s="26"/>
      <c r="BH123" s="26"/>
      <c r="BI123" s="26"/>
      <c r="BJ123" s="26"/>
      <c r="BK123" s="26"/>
      <c r="BL123" s="26"/>
      <c r="BM123" s="26"/>
      <c r="BN123" s="26"/>
      <c r="BO123" s="26"/>
      <c r="BP123" s="26"/>
      <c r="BQ123" s="26"/>
      <c r="BR123" s="26"/>
      <c r="BS123" s="26"/>
      <c r="BT123" s="26"/>
      <c r="BU123" s="26"/>
      <c r="BV123" s="26"/>
      <c r="BW123" s="26"/>
      <c r="BX123" s="26"/>
      <c r="BY123" s="26"/>
      <c r="BZ123" s="26"/>
      <c r="CA123" s="26"/>
      <c r="CB123" s="26"/>
      <c r="CC123" s="26"/>
      <c r="CD123" s="26"/>
      <c r="CE123" s="26"/>
      <c r="CF123" s="26"/>
      <c r="CG123" s="26"/>
      <c r="CH123" s="26"/>
      <c r="CI123" s="26"/>
      <c r="CJ123" s="26"/>
      <c r="CK123" s="26"/>
      <c r="CL123" s="26"/>
      <c r="CM123" s="26"/>
      <c r="CN123" s="26"/>
      <c r="CO123" s="26"/>
      <c r="CP123" s="26"/>
      <c r="CQ123" s="26"/>
      <c r="CR123" s="26"/>
      <c r="CS123" s="26"/>
      <c r="CT123" s="26"/>
      <c r="CU123" s="26"/>
      <c r="CV123" s="26"/>
      <c r="CW123" s="26"/>
      <c r="CX123" s="26"/>
      <c r="CY123" s="26"/>
      <c r="CZ123" s="26"/>
      <c r="DA123" s="26"/>
      <c r="DB123" s="26"/>
      <c r="DC123" s="26"/>
      <c r="DD123" s="26"/>
    </row>
    <row r="124" spans="59:108" x14ac:dyDescent="0.2">
      <c r="BG124" s="26"/>
      <c r="BH124" s="26"/>
      <c r="BI124" s="26"/>
      <c r="BJ124" s="26"/>
      <c r="BK124" s="26"/>
      <c r="BL124" s="26"/>
      <c r="BM124" s="26"/>
      <c r="BN124" s="26"/>
      <c r="BO124" s="26"/>
      <c r="BP124" s="26"/>
      <c r="BQ124" s="26"/>
      <c r="BR124" s="26"/>
      <c r="BS124" s="26"/>
      <c r="BT124" s="26"/>
      <c r="BU124" s="26"/>
      <c r="BV124" s="26"/>
      <c r="BW124" s="26"/>
      <c r="BX124" s="26"/>
      <c r="BY124" s="26"/>
      <c r="BZ124" s="26"/>
      <c r="CA124" s="26"/>
      <c r="CB124" s="26"/>
      <c r="CC124" s="26"/>
      <c r="CD124" s="26"/>
      <c r="CE124" s="26"/>
      <c r="CF124" s="26"/>
      <c r="CG124" s="26"/>
      <c r="CH124" s="26"/>
      <c r="CI124" s="26"/>
      <c r="CJ124" s="26"/>
      <c r="CK124" s="26"/>
      <c r="CL124" s="26"/>
      <c r="CM124" s="26"/>
      <c r="CN124" s="26"/>
      <c r="CO124" s="26"/>
      <c r="CP124" s="26"/>
      <c r="CQ124" s="26"/>
      <c r="CR124" s="26"/>
      <c r="CS124" s="26"/>
      <c r="CT124" s="26"/>
      <c r="CU124" s="26"/>
      <c r="CV124" s="26"/>
      <c r="CW124" s="26"/>
      <c r="CX124" s="26"/>
      <c r="CY124" s="26"/>
      <c r="CZ124" s="26"/>
      <c r="DA124" s="26"/>
      <c r="DB124" s="26"/>
      <c r="DC124" s="26"/>
      <c r="DD124" s="26"/>
    </row>
    <row r="125" spans="59:108" x14ac:dyDescent="0.2">
      <c r="BG125" s="26"/>
      <c r="BH125" s="26"/>
      <c r="BI125" s="26"/>
      <c r="BJ125" s="26"/>
      <c r="BK125" s="26"/>
      <c r="BL125" s="26"/>
      <c r="BM125" s="26"/>
      <c r="BN125" s="26"/>
      <c r="BO125" s="26"/>
      <c r="BP125" s="26"/>
      <c r="BQ125" s="26"/>
      <c r="BR125" s="26"/>
      <c r="BS125" s="26"/>
      <c r="BT125" s="26"/>
      <c r="BU125" s="26"/>
      <c r="BV125" s="26"/>
      <c r="BW125" s="26"/>
      <c r="BX125" s="26"/>
      <c r="BY125" s="26"/>
      <c r="BZ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K125" s="26"/>
      <c r="CL125" s="26"/>
      <c r="CM125" s="26"/>
      <c r="CN125" s="26"/>
      <c r="CO125" s="26"/>
      <c r="CP125" s="26"/>
      <c r="CQ125" s="26"/>
      <c r="CR125" s="26"/>
      <c r="CS125" s="26"/>
      <c r="CT125" s="26"/>
      <c r="CU125" s="26"/>
      <c r="CV125" s="26"/>
      <c r="CW125" s="26"/>
      <c r="CX125" s="26"/>
      <c r="CY125" s="26"/>
      <c r="CZ125" s="26"/>
      <c r="DA125" s="26"/>
      <c r="DB125" s="26"/>
      <c r="DC125" s="26"/>
      <c r="DD125" s="26"/>
    </row>
    <row r="126" spans="59:108" x14ac:dyDescent="0.2">
      <c r="BG126" s="26"/>
      <c r="BH126" s="26"/>
      <c r="BI126" s="26"/>
      <c r="BJ126" s="26"/>
      <c r="BK126" s="26"/>
      <c r="BL126" s="26"/>
      <c r="BM126" s="26"/>
      <c r="BN126" s="26"/>
      <c r="BO126" s="26"/>
      <c r="BP126" s="26"/>
      <c r="BQ126" s="26"/>
      <c r="BR126" s="26"/>
      <c r="BS126" s="26"/>
      <c r="BT126" s="26"/>
      <c r="BU126" s="26"/>
      <c r="BV126" s="26"/>
      <c r="BW126" s="26"/>
      <c r="BX126" s="26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  <c r="CO126" s="26"/>
      <c r="CP126" s="26"/>
      <c r="CQ126" s="26"/>
      <c r="CR126" s="26"/>
      <c r="CS126" s="26"/>
      <c r="CT126" s="26"/>
      <c r="CU126" s="26"/>
      <c r="CV126" s="26"/>
      <c r="CW126" s="26"/>
      <c r="CX126" s="26"/>
      <c r="CY126" s="26"/>
      <c r="CZ126" s="26"/>
      <c r="DA126" s="26"/>
      <c r="DB126" s="26"/>
      <c r="DC126" s="26"/>
      <c r="DD126" s="26"/>
    </row>
    <row r="127" spans="59:108" x14ac:dyDescent="0.2">
      <c r="BG127" s="26"/>
      <c r="BH127" s="26"/>
      <c r="BI127" s="26"/>
      <c r="BJ127" s="26"/>
      <c r="BK127" s="26"/>
      <c r="BL127" s="26"/>
      <c r="BM127" s="26"/>
      <c r="BN127" s="26"/>
      <c r="BO127" s="26"/>
      <c r="BP127" s="26"/>
      <c r="BQ127" s="26"/>
      <c r="BR127" s="26"/>
      <c r="BS127" s="26"/>
      <c r="BT127" s="26"/>
      <c r="BU127" s="26"/>
      <c r="BV127" s="26"/>
      <c r="BW127" s="26"/>
      <c r="BX127" s="26"/>
      <c r="BY127" s="26"/>
      <c r="BZ127" s="26"/>
      <c r="CA127" s="26"/>
      <c r="CB127" s="26"/>
      <c r="CC127" s="26"/>
      <c r="CD127" s="26"/>
      <c r="CE127" s="26"/>
      <c r="CF127" s="26"/>
      <c r="CG127" s="26"/>
      <c r="CH127" s="26"/>
      <c r="CI127" s="26"/>
      <c r="CJ127" s="26"/>
      <c r="CK127" s="26"/>
      <c r="CL127" s="26"/>
      <c r="CM127" s="26"/>
      <c r="CN127" s="26"/>
      <c r="CO127" s="26"/>
      <c r="CP127" s="26"/>
      <c r="CQ127" s="26"/>
      <c r="CR127" s="26"/>
      <c r="CS127" s="26"/>
      <c r="CT127" s="26"/>
      <c r="CU127" s="26"/>
      <c r="CV127" s="26"/>
      <c r="CW127" s="26"/>
      <c r="CX127" s="26"/>
      <c r="CY127" s="26"/>
      <c r="CZ127" s="26"/>
      <c r="DA127" s="26"/>
      <c r="DB127" s="26"/>
      <c r="DC127" s="26"/>
      <c r="DD127" s="26"/>
    </row>
    <row r="128" spans="59:108" x14ac:dyDescent="0.2">
      <c r="BG128" s="26"/>
      <c r="BH128" s="26"/>
      <c r="BI128" s="26"/>
      <c r="BJ128" s="26"/>
      <c r="BK128" s="26"/>
      <c r="BL128" s="26"/>
      <c r="BM128" s="26"/>
      <c r="BN128" s="26"/>
      <c r="BO128" s="26"/>
      <c r="BP128" s="26"/>
      <c r="BQ128" s="26"/>
      <c r="BR128" s="26"/>
      <c r="BS128" s="26"/>
      <c r="BT128" s="26"/>
      <c r="BU128" s="26"/>
      <c r="BV128" s="26"/>
      <c r="BW128" s="26"/>
      <c r="BX128" s="26"/>
      <c r="BY128" s="26"/>
      <c r="BZ128" s="26"/>
      <c r="CA128" s="26"/>
      <c r="CB128" s="26"/>
      <c r="CC128" s="26"/>
      <c r="CD128" s="26"/>
      <c r="CE128" s="26"/>
      <c r="CF128" s="26"/>
      <c r="CG128" s="26"/>
      <c r="CH128" s="26"/>
      <c r="CI128" s="26"/>
      <c r="CJ128" s="26"/>
      <c r="CK128" s="26"/>
      <c r="CL128" s="26"/>
      <c r="CM128" s="26"/>
      <c r="CN128" s="26"/>
      <c r="CO128" s="26"/>
      <c r="CP128" s="26"/>
      <c r="CQ128" s="26"/>
      <c r="CR128" s="26"/>
      <c r="CS128" s="26"/>
      <c r="CT128" s="26"/>
      <c r="CU128" s="26"/>
      <c r="CV128" s="26"/>
      <c r="CW128" s="26"/>
      <c r="CX128" s="26"/>
      <c r="CY128" s="26"/>
      <c r="CZ128" s="26"/>
      <c r="DA128" s="26"/>
      <c r="DB128" s="26"/>
      <c r="DC128" s="26"/>
      <c r="DD128" s="26"/>
    </row>
    <row r="129" spans="59:108" x14ac:dyDescent="0.2">
      <c r="BG129" s="26"/>
      <c r="BH129" s="26"/>
      <c r="BI129" s="26"/>
      <c r="BJ129" s="26"/>
      <c r="BK129" s="26"/>
      <c r="BL129" s="26"/>
      <c r="BM129" s="26"/>
      <c r="BN129" s="26"/>
      <c r="BO129" s="26"/>
      <c r="BP129" s="26"/>
      <c r="BQ129" s="26"/>
      <c r="BR129" s="26"/>
      <c r="BS129" s="26"/>
      <c r="BT129" s="26"/>
      <c r="BU129" s="26"/>
      <c r="BV129" s="26"/>
      <c r="BW129" s="26"/>
      <c r="BX129" s="26"/>
      <c r="BY129" s="26"/>
      <c r="BZ129" s="26"/>
      <c r="CA129" s="26"/>
      <c r="CB129" s="26"/>
      <c r="CC129" s="26"/>
      <c r="CD129" s="26"/>
      <c r="CE129" s="26"/>
      <c r="CF129" s="26"/>
      <c r="CG129" s="26"/>
      <c r="CH129" s="26"/>
      <c r="CI129" s="26"/>
      <c r="CJ129" s="26"/>
      <c r="CK129" s="26"/>
      <c r="CL129" s="26"/>
      <c r="CM129" s="26"/>
      <c r="CN129" s="26"/>
      <c r="CO129" s="26"/>
      <c r="CP129" s="26"/>
      <c r="CQ129" s="26"/>
      <c r="CR129" s="26"/>
      <c r="CS129" s="26"/>
      <c r="CT129" s="26"/>
      <c r="CU129" s="26"/>
      <c r="CV129" s="26"/>
      <c r="CW129" s="26"/>
      <c r="CX129" s="26"/>
      <c r="CY129" s="26"/>
      <c r="CZ129" s="26"/>
      <c r="DA129" s="26"/>
      <c r="DB129" s="26"/>
      <c r="DC129" s="26"/>
      <c r="DD129" s="26"/>
    </row>
    <row r="130" spans="59:108" x14ac:dyDescent="0.2">
      <c r="BG130" s="26"/>
      <c r="BH130" s="26"/>
      <c r="BI130" s="26"/>
      <c r="BJ130" s="26"/>
      <c r="BK130" s="26"/>
      <c r="BL130" s="26"/>
      <c r="BM130" s="26"/>
      <c r="BN130" s="26"/>
      <c r="BO130" s="26"/>
      <c r="BP130" s="26"/>
      <c r="BQ130" s="26"/>
      <c r="BR130" s="26"/>
      <c r="BS130" s="26"/>
      <c r="BT130" s="26"/>
      <c r="BU130" s="26"/>
      <c r="BV130" s="26"/>
      <c r="BW130" s="26"/>
      <c r="BX130" s="26"/>
      <c r="BY130" s="26"/>
      <c r="BZ130" s="26"/>
      <c r="CA130" s="26"/>
      <c r="CB130" s="26"/>
      <c r="CC130" s="26"/>
      <c r="CD130" s="26"/>
      <c r="CE130" s="26"/>
      <c r="CF130" s="26"/>
      <c r="CG130" s="26"/>
      <c r="CH130" s="26"/>
      <c r="CI130" s="26"/>
      <c r="CJ130" s="26"/>
      <c r="CK130" s="26"/>
      <c r="CL130" s="26"/>
      <c r="CM130" s="26"/>
      <c r="CN130" s="26"/>
      <c r="CO130" s="26"/>
      <c r="CP130" s="26"/>
      <c r="CQ130" s="26"/>
      <c r="CR130" s="26"/>
      <c r="CS130" s="26"/>
      <c r="CT130" s="26"/>
      <c r="CU130" s="26"/>
      <c r="CV130" s="26"/>
      <c r="CW130" s="26"/>
      <c r="CX130" s="26"/>
      <c r="CY130" s="26"/>
      <c r="CZ130" s="26"/>
      <c r="DA130" s="26"/>
      <c r="DB130" s="26"/>
      <c r="DC130" s="26"/>
      <c r="DD130" s="26"/>
    </row>
    <row r="131" spans="59:108" x14ac:dyDescent="0.2">
      <c r="BG131" s="26"/>
      <c r="BH131" s="26"/>
      <c r="BI131" s="26"/>
      <c r="BJ131" s="26"/>
      <c r="BK131" s="26"/>
      <c r="BL131" s="26"/>
      <c r="BM131" s="26"/>
      <c r="BN131" s="26"/>
      <c r="BO131" s="26"/>
      <c r="BP131" s="26"/>
      <c r="BQ131" s="26"/>
      <c r="BR131" s="26"/>
      <c r="BS131" s="26"/>
      <c r="BT131" s="26"/>
      <c r="BU131" s="26"/>
      <c r="BV131" s="26"/>
      <c r="BW131" s="26"/>
      <c r="BX131" s="26"/>
      <c r="BY131" s="26"/>
      <c r="BZ131" s="26"/>
      <c r="CA131" s="26"/>
      <c r="CB131" s="26"/>
      <c r="CC131" s="26"/>
      <c r="CD131" s="26"/>
      <c r="CE131" s="26"/>
      <c r="CF131" s="26"/>
      <c r="CG131" s="26"/>
      <c r="CH131" s="26"/>
      <c r="CI131" s="26"/>
      <c r="CJ131" s="26"/>
      <c r="CK131" s="26"/>
      <c r="CL131" s="26"/>
      <c r="CM131" s="26"/>
      <c r="CN131" s="26"/>
      <c r="CO131" s="26"/>
      <c r="CP131" s="26"/>
      <c r="CQ131" s="26"/>
      <c r="CR131" s="26"/>
      <c r="CS131" s="26"/>
      <c r="CT131" s="26"/>
      <c r="CU131" s="26"/>
      <c r="CV131" s="26"/>
      <c r="CW131" s="26"/>
      <c r="CX131" s="26"/>
      <c r="CY131" s="26"/>
      <c r="CZ131" s="26"/>
      <c r="DA131" s="26"/>
      <c r="DB131" s="26"/>
      <c r="DC131" s="26"/>
      <c r="DD131" s="26"/>
    </row>
    <row r="132" spans="59:108" x14ac:dyDescent="0.2">
      <c r="BG132" s="26"/>
      <c r="BH132" s="26"/>
      <c r="BI132" s="26"/>
      <c r="BJ132" s="26"/>
      <c r="BK132" s="26"/>
      <c r="BL132" s="26"/>
      <c r="BM132" s="26"/>
      <c r="BN132" s="26"/>
      <c r="BO132" s="26"/>
      <c r="BP132" s="26"/>
      <c r="BQ132" s="26"/>
      <c r="BR132" s="26"/>
      <c r="BS132" s="26"/>
      <c r="BT132" s="26"/>
      <c r="BU132" s="26"/>
      <c r="BV132" s="26"/>
      <c r="BW132" s="26"/>
      <c r="BX132" s="26"/>
      <c r="BY132" s="26"/>
      <c r="BZ132" s="26"/>
      <c r="CA132" s="26"/>
      <c r="CB132" s="26"/>
      <c r="CC132" s="26"/>
      <c r="CD132" s="26"/>
      <c r="CE132" s="26"/>
      <c r="CF132" s="26"/>
      <c r="CG132" s="26"/>
      <c r="CH132" s="26"/>
      <c r="CI132" s="26"/>
      <c r="CJ132" s="26"/>
      <c r="CK132" s="26"/>
      <c r="CL132" s="26"/>
      <c r="CM132" s="26"/>
      <c r="CN132" s="26"/>
      <c r="CO132" s="26"/>
      <c r="CP132" s="26"/>
      <c r="CQ132" s="26"/>
      <c r="CR132" s="26"/>
      <c r="CS132" s="26"/>
      <c r="CT132" s="26"/>
      <c r="CU132" s="26"/>
      <c r="CV132" s="26"/>
      <c r="CW132" s="26"/>
      <c r="CX132" s="26"/>
      <c r="CY132" s="26"/>
      <c r="CZ132" s="26"/>
      <c r="DA132" s="26"/>
      <c r="DB132" s="26"/>
      <c r="DC132" s="26"/>
      <c r="DD132" s="26"/>
    </row>
    <row r="133" spans="59:108" x14ac:dyDescent="0.2">
      <c r="BG133" s="26"/>
      <c r="BH133" s="26"/>
      <c r="BI133" s="26"/>
      <c r="BJ133" s="26"/>
      <c r="BK133" s="26"/>
      <c r="BL133" s="26"/>
      <c r="BM133" s="26"/>
      <c r="BN133" s="26"/>
      <c r="BO133" s="26"/>
      <c r="BP133" s="26"/>
      <c r="BQ133" s="26"/>
      <c r="BR133" s="26"/>
      <c r="BS133" s="26"/>
      <c r="BT133" s="26"/>
      <c r="BU133" s="26"/>
      <c r="BV133" s="26"/>
      <c r="BW133" s="26"/>
      <c r="BX133" s="26"/>
      <c r="BY133" s="26"/>
      <c r="BZ133" s="26"/>
      <c r="CA133" s="26"/>
      <c r="CB133" s="26"/>
      <c r="CC133" s="26"/>
      <c r="CD133" s="26"/>
      <c r="CE133" s="26"/>
      <c r="CF133" s="26"/>
      <c r="CG133" s="26"/>
      <c r="CH133" s="26"/>
      <c r="CI133" s="26"/>
      <c r="CJ133" s="26"/>
      <c r="CK133" s="26"/>
      <c r="CL133" s="26"/>
      <c r="CM133" s="26"/>
      <c r="CN133" s="26"/>
      <c r="CO133" s="26"/>
      <c r="CP133" s="26"/>
      <c r="CQ133" s="26"/>
      <c r="CR133" s="26"/>
      <c r="CS133" s="26"/>
      <c r="CT133" s="26"/>
      <c r="CU133" s="26"/>
      <c r="CV133" s="26"/>
      <c r="CW133" s="26"/>
      <c r="CX133" s="26"/>
      <c r="CY133" s="26"/>
      <c r="CZ133" s="26"/>
      <c r="DA133" s="26"/>
      <c r="DB133" s="26"/>
      <c r="DC133" s="26"/>
      <c r="DD133" s="26"/>
    </row>
    <row r="134" spans="59:108" x14ac:dyDescent="0.2">
      <c r="BG134" s="26"/>
      <c r="BH134" s="26"/>
      <c r="BI134" s="26"/>
      <c r="BJ134" s="26"/>
      <c r="BK134" s="26"/>
      <c r="BL134" s="26"/>
      <c r="BM134" s="26"/>
      <c r="BN134" s="26"/>
      <c r="BO134" s="26"/>
      <c r="BP134" s="26"/>
      <c r="BQ134" s="26"/>
      <c r="BR134" s="26"/>
      <c r="BS134" s="26"/>
      <c r="BT134" s="26"/>
      <c r="BU134" s="26"/>
      <c r="BV134" s="26"/>
      <c r="BW134" s="26"/>
      <c r="BX134" s="26"/>
      <c r="BY134" s="26"/>
      <c r="BZ134" s="26"/>
      <c r="CA134" s="26"/>
      <c r="CB134" s="26"/>
      <c r="CC134" s="26"/>
      <c r="CD134" s="26"/>
      <c r="CE134" s="26"/>
      <c r="CF134" s="26"/>
      <c r="CG134" s="26"/>
      <c r="CH134" s="26"/>
      <c r="CI134" s="26"/>
      <c r="CJ134" s="26"/>
      <c r="CK134" s="26"/>
      <c r="CL134" s="26"/>
      <c r="CM134" s="26"/>
      <c r="CN134" s="26"/>
      <c r="CO134" s="26"/>
      <c r="CP134" s="26"/>
      <c r="CQ134" s="26"/>
      <c r="CR134" s="26"/>
      <c r="CS134" s="26"/>
      <c r="CT134" s="26"/>
      <c r="CU134" s="26"/>
      <c r="CV134" s="26"/>
      <c r="CW134" s="26"/>
      <c r="CX134" s="26"/>
      <c r="CY134" s="26"/>
      <c r="CZ134" s="26"/>
      <c r="DA134" s="26"/>
      <c r="DB134" s="26"/>
      <c r="DC134" s="26"/>
      <c r="DD134" s="26"/>
    </row>
    <row r="135" spans="59:108" x14ac:dyDescent="0.2">
      <c r="BG135" s="26"/>
      <c r="BH135" s="26"/>
      <c r="BI135" s="26"/>
      <c r="BJ135" s="26"/>
      <c r="BK135" s="26"/>
      <c r="BL135" s="26"/>
      <c r="BM135" s="26"/>
      <c r="BN135" s="26"/>
      <c r="BO135" s="26"/>
      <c r="BP135" s="26"/>
      <c r="BQ135" s="26"/>
      <c r="BR135" s="26"/>
      <c r="BS135" s="26"/>
      <c r="BT135" s="26"/>
      <c r="BU135" s="26"/>
      <c r="BV135" s="26"/>
      <c r="BW135" s="26"/>
      <c r="BX135" s="26"/>
      <c r="BY135" s="26"/>
      <c r="BZ135" s="26"/>
      <c r="CA135" s="26"/>
      <c r="CB135" s="26"/>
      <c r="CC135" s="26"/>
      <c r="CD135" s="26"/>
      <c r="CE135" s="26"/>
      <c r="CF135" s="26"/>
      <c r="CG135" s="26"/>
      <c r="CH135" s="26"/>
      <c r="CI135" s="26"/>
      <c r="CJ135" s="26"/>
      <c r="CK135" s="26"/>
      <c r="CL135" s="26"/>
      <c r="CM135" s="26"/>
      <c r="CN135" s="26"/>
      <c r="CO135" s="26"/>
      <c r="CP135" s="26"/>
      <c r="CQ135" s="26"/>
      <c r="CR135" s="26"/>
      <c r="CS135" s="26"/>
      <c r="CT135" s="26"/>
      <c r="CU135" s="26"/>
      <c r="CV135" s="26"/>
      <c r="CW135" s="26"/>
      <c r="CX135" s="26"/>
      <c r="CY135" s="26"/>
      <c r="CZ135" s="26"/>
      <c r="DA135" s="26"/>
      <c r="DB135" s="26"/>
      <c r="DC135" s="26"/>
      <c r="DD135" s="26"/>
    </row>
    <row r="136" spans="59:108" x14ac:dyDescent="0.2">
      <c r="BG136" s="26"/>
      <c r="BH136" s="26"/>
      <c r="BI136" s="26"/>
      <c r="BJ136" s="26"/>
      <c r="BK136" s="26"/>
      <c r="BL136" s="26"/>
      <c r="BM136" s="26"/>
      <c r="BN136" s="26"/>
      <c r="BO136" s="26"/>
      <c r="BP136" s="26"/>
      <c r="BQ136" s="26"/>
      <c r="BR136" s="26"/>
      <c r="BS136" s="26"/>
      <c r="BT136" s="26"/>
      <c r="BU136" s="26"/>
      <c r="BV136" s="26"/>
      <c r="BW136" s="26"/>
      <c r="BX136" s="26"/>
      <c r="BY136" s="26"/>
      <c r="BZ136" s="26"/>
      <c r="CA136" s="26"/>
      <c r="CB136" s="26"/>
      <c r="CC136" s="26"/>
      <c r="CD136" s="26"/>
      <c r="CE136" s="26"/>
      <c r="CF136" s="26"/>
      <c r="CG136" s="26"/>
      <c r="CH136" s="26"/>
      <c r="CI136" s="26"/>
      <c r="CJ136" s="26"/>
      <c r="CK136" s="26"/>
      <c r="CL136" s="26"/>
      <c r="CM136" s="26"/>
      <c r="CN136" s="26"/>
      <c r="CO136" s="26"/>
      <c r="CP136" s="26"/>
      <c r="CQ136" s="26"/>
      <c r="CR136" s="26"/>
      <c r="CS136" s="26"/>
      <c r="CT136" s="26"/>
      <c r="CU136" s="26"/>
      <c r="CV136" s="26"/>
      <c r="CW136" s="26"/>
      <c r="CX136" s="26"/>
      <c r="CY136" s="26"/>
      <c r="CZ136" s="26"/>
      <c r="DA136" s="26"/>
      <c r="DB136" s="26"/>
      <c r="DC136" s="26"/>
      <c r="DD136" s="26"/>
    </row>
    <row r="137" spans="59:108" x14ac:dyDescent="0.2">
      <c r="BG137" s="26"/>
      <c r="BH137" s="26"/>
      <c r="BI137" s="26"/>
      <c r="BJ137" s="26"/>
      <c r="BK137" s="26"/>
      <c r="BL137" s="26"/>
      <c r="BM137" s="26"/>
      <c r="BN137" s="26"/>
      <c r="BO137" s="26"/>
      <c r="BP137" s="26"/>
      <c r="BQ137" s="26"/>
      <c r="BR137" s="26"/>
      <c r="BS137" s="26"/>
      <c r="BT137" s="26"/>
      <c r="BU137" s="26"/>
      <c r="BV137" s="26"/>
      <c r="BW137" s="26"/>
      <c r="BX137" s="26"/>
      <c r="BY137" s="26"/>
      <c r="BZ137" s="26"/>
      <c r="CA137" s="26"/>
      <c r="CB137" s="26"/>
      <c r="CC137" s="26"/>
      <c r="CD137" s="26"/>
      <c r="CE137" s="26"/>
      <c r="CF137" s="26"/>
      <c r="CG137" s="26"/>
      <c r="CH137" s="26"/>
      <c r="CI137" s="26"/>
      <c r="CJ137" s="26"/>
      <c r="CK137" s="26"/>
      <c r="CL137" s="26"/>
      <c r="CM137" s="26"/>
      <c r="CN137" s="26"/>
      <c r="CO137" s="26"/>
      <c r="CP137" s="26"/>
      <c r="CQ137" s="26"/>
      <c r="CR137" s="26"/>
      <c r="CS137" s="26"/>
      <c r="CT137" s="26"/>
      <c r="CU137" s="26"/>
      <c r="CV137" s="26"/>
      <c r="CW137" s="26"/>
      <c r="CX137" s="26"/>
      <c r="CY137" s="26"/>
      <c r="CZ137" s="26"/>
      <c r="DA137" s="26"/>
      <c r="DB137" s="26"/>
      <c r="DC137" s="26"/>
      <c r="DD137" s="26"/>
    </row>
    <row r="138" spans="59:108" x14ac:dyDescent="0.2">
      <c r="BG138" s="26"/>
      <c r="BH138" s="26"/>
      <c r="BI138" s="26"/>
      <c r="BJ138" s="26"/>
      <c r="BK138" s="26"/>
      <c r="BL138" s="26"/>
      <c r="BM138" s="26"/>
      <c r="BN138" s="26"/>
      <c r="BO138" s="26"/>
      <c r="BP138" s="26"/>
      <c r="BQ138" s="26"/>
      <c r="BR138" s="26"/>
      <c r="BS138" s="26"/>
      <c r="BT138" s="26"/>
      <c r="BU138" s="26"/>
      <c r="BV138" s="26"/>
      <c r="BW138" s="26"/>
      <c r="BX138" s="26"/>
      <c r="BY138" s="26"/>
      <c r="BZ138" s="26"/>
      <c r="CA138" s="26"/>
      <c r="CB138" s="26"/>
      <c r="CC138" s="26"/>
      <c r="CD138" s="26"/>
      <c r="CE138" s="26"/>
      <c r="CF138" s="26"/>
      <c r="CG138" s="26"/>
      <c r="CH138" s="26"/>
      <c r="CI138" s="26"/>
      <c r="CJ138" s="26"/>
      <c r="CK138" s="26"/>
      <c r="CL138" s="26"/>
      <c r="CM138" s="26"/>
      <c r="CN138" s="26"/>
      <c r="CO138" s="26"/>
      <c r="CP138" s="26"/>
      <c r="CQ138" s="26"/>
      <c r="CR138" s="26"/>
      <c r="CS138" s="26"/>
      <c r="CT138" s="26"/>
      <c r="CU138" s="26"/>
      <c r="CV138" s="26"/>
      <c r="CW138" s="26"/>
      <c r="CX138" s="26"/>
      <c r="CY138" s="26"/>
      <c r="CZ138" s="26"/>
      <c r="DA138" s="26"/>
      <c r="DB138" s="26"/>
      <c r="DC138" s="26"/>
      <c r="DD138" s="26"/>
    </row>
    <row r="139" spans="59:108" x14ac:dyDescent="0.2">
      <c r="BG139" s="26"/>
      <c r="BH139" s="26"/>
      <c r="BI139" s="26"/>
      <c r="BJ139" s="26"/>
      <c r="BK139" s="26"/>
      <c r="BL139" s="26"/>
      <c r="BM139" s="26"/>
      <c r="BN139" s="26"/>
      <c r="BO139" s="26"/>
      <c r="BP139" s="26"/>
      <c r="BQ139" s="26"/>
      <c r="BR139" s="26"/>
      <c r="BS139" s="26"/>
      <c r="BT139" s="26"/>
      <c r="BU139" s="26"/>
      <c r="BV139" s="26"/>
      <c r="BW139" s="26"/>
      <c r="BX139" s="26"/>
      <c r="BY139" s="26"/>
      <c r="BZ139" s="26"/>
      <c r="CA139" s="26"/>
      <c r="CB139" s="26"/>
      <c r="CC139" s="26"/>
      <c r="CD139" s="26"/>
      <c r="CE139" s="26"/>
      <c r="CF139" s="26"/>
      <c r="CG139" s="26"/>
      <c r="CH139" s="26"/>
      <c r="CI139" s="26"/>
      <c r="CJ139" s="26"/>
      <c r="CK139" s="26"/>
      <c r="CL139" s="26"/>
      <c r="CM139" s="26"/>
      <c r="CN139" s="26"/>
      <c r="CO139" s="26"/>
      <c r="CP139" s="26"/>
      <c r="CQ139" s="26"/>
      <c r="CR139" s="26"/>
      <c r="CS139" s="26"/>
      <c r="CT139" s="26"/>
      <c r="CU139" s="26"/>
      <c r="CV139" s="26"/>
      <c r="CW139" s="26"/>
      <c r="CX139" s="26"/>
      <c r="CY139" s="26"/>
      <c r="CZ139" s="26"/>
      <c r="DA139" s="26"/>
      <c r="DB139" s="26"/>
      <c r="DC139" s="26"/>
      <c r="DD139" s="26"/>
    </row>
    <row r="140" spans="59:108" x14ac:dyDescent="0.2">
      <c r="BG140" s="26"/>
      <c r="BH140" s="26"/>
      <c r="BI140" s="26"/>
      <c r="BJ140" s="26"/>
      <c r="BK140" s="26"/>
      <c r="BL140" s="26"/>
      <c r="BM140" s="26"/>
      <c r="BN140" s="26"/>
      <c r="BO140" s="26"/>
      <c r="BP140" s="26"/>
      <c r="BQ140" s="26"/>
      <c r="BR140" s="26"/>
      <c r="BS140" s="26"/>
      <c r="BT140" s="26"/>
      <c r="BU140" s="26"/>
      <c r="BV140" s="26"/>
      <c r="BW140" s="26"/>
      <c r="BX140" s="26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K140" s="26"/>
      <c r="CL140" s="26"/>
      <c r="CM140" s="26"/>
      <c r="CN140" s="26"/>
      <c r="CO140" s="26"/>
      <c r="CP140" s="26"/>
      <c r="CQ140" s="26"/>
      <c r="CR140" s="26"/>
      <c r="CS140" s="26"/>
      <c r="CT140" s="26"/>
      <c r="CU140" s="26"/>
      <c r="CV140" s="26"/>
      <c r="CW140" s="26"/>
      <c r="CX140" s="26"/>
      <c r="CY140" s="26"/>
      <c r="CZ140" s="26"/>
      <c r="DA140" s="26"/>
      <c r="DB140" s="26"/>
      <c r="DC140" s="26"/>
      <c r="DD140" s="26"/>
    </row>
    <row r="141" spans="59:108" x14ac:dyDescent="0.2">
      <c r="BG141" s="26"/>
      <c r="BH141" s="26"/>
      <c r="BI141" s="26"/>
      <c r="BJ141" s="26"/>
      <c r="BK141" s="26"/>
      <c r="BL141" s="26"/>
      <c r="BM141" s="26"/>
      <c r="BN141" s="26"/>
      <c r="BO141" s="26"/>
      <c r="BP141" s="26"/>
      <c r="BQ141" s="26"/>
      <c r="BR141" s="26"/>
      <c r="BS141" s="26"/>
      <c r="BT141" s="26"/>
      <c r="BU141" s="26"/>
      <c r="BV141" s="26"/>
      <c r="BW141" s="26"/>
      <c r="BX141" s="26"/>
      <c r="BY141" s="26"/>
      <c r="BZ141" s="26"/>
      <c r="CA141" s="26"/>
      <c r="CB141" s="26"/>
      <c r="CC141" s="26"/>
      <c r="CD141" s="26"/>
      <c r="CE141" s="26"/>
      <c r="CF141" s="26"/>
      <c r="CG141" s="26"/>
      <c r="CH141" s="26"/>
      <c r="CI141" s="26"/>
      <c r="CJ141" s="26"/>
      <c r="CK141" s="26"/>
      <c r="CL141" s="26"/>
      <c r="CM141" s="26"/>
      <c r="CN141" s="26"/>
      <c r="CO141" s="26"/>
      <c r="CP141" s="26"/>
      <c r="CQ141" s="26"/>
      <c r="CR141" s="26"/>
      <c r="CS141" s="26"/>
      <c r="CT141" s="26"/>
      <c r="CU141" s="26"/>
      <c r="CV141" s="26"/>
      <c r="CW141" s="26"/>
      <c r="CX141" s="26"/>
      <c r="CY141" s="26"/>
      <c r="CZ141" s="26"/>
      <c r="DA141" s="26"/>
      <c r="DB141" s="26"/>
      <c r="DC141" s="26"/>
      <c r="DD141" s="26"/>
    </row>
    <row r="142" spans="59:108" x14ac:dyDescent="0.2">
      <c r="BG142" s="26"/>
      <c r="BH142" s="26"/>
      <c r="BI142" s="26"/>
      <c r="BJ142" s="26"/>
      <c r="BK142" s="26"/>
      <c r="BL142" s="26"/>
      <c r="BM142" s="26"/>
      <c r="BN142" s="26"/>
      <c r="BO142" s="26"/>
      <c r="BP142" s="26"/>
      <c r="BQ142" s="26"/>
      <c r="BR142" s="26"/>
      <c r="BS142" s="26"/>
      <c r="BT142" s="26"/>
      <c r="BU142" s="26"/>
      <c r="BV142" s="26"/>
      <c r="BW142" s="26"/>
      <c r="BX142" s="26"/>
      <c r="BY142" s="26"/>
      <c r="BZ142" s="26"/>
      <c r="CA142" s="26"/>
      <c r="CB142" s="26"/>
      <c r="CC142" s="26"/>
      <c r="CD142" s="26"/>
      <c r="CE142" s="26"/>
      <c r="CF142" s="26"/>
      <c r="CG142" s="26"/>
      <c r="CH142" s="26"/>
      <c r="CI142" s="26"/>
      <c r="CJ142" s="26"/>
      <c r="CK142" s="26"/>
      <c r="CL142" s="26"/>
      <c r="CM142" s="26"/>
      <c r="CN142" s="26"/>
      <c r="CO142" s="26"/>
      <c r="CP142" s="26"/>
      <c r="CQ142" s="26"/>
      <c r="CR142" s="26"/>
      <c r="CS142" s="26"/>
      <c r="CT142" s="26"/>
      <c r="CU142" s="26"/>
      <c r="CV142" s="26"/>
      <c r="CW142" s="26"/>
      <c r="CX142" s="26"/>
      <c r="CY142" s="26"/>
      <c r="CZ142" s="26"/>
      <c r="DA142" s="26"/>
      <c r="DB142" s="26"/>
      <c r="DC142" s="26"/>
      <c r="DD142" s="26"/>
    </row>
    <row r="143" spans="59:108" x14ac:dyDescent="0.2">
      <c r="BG143" s="26"/>
      <c r="BH143" s="26"/>
      <c r="BI143" s="26"/>
      <c r="BJ143" s="26"/>
      <c r="BK143" s="26"/>
      <c r="BL143" s="26"/>
      <c r="BM143" s="26"/>
      <c r="BN143" s="26"/>
      <c r="BO143" s="26"/>
      <c r="BP143" s="26"/>
      <c r="BQ143" s="26"/>
      <c r="BR143" s="26"/>
      <c r="BS143" s="26"/>
      <c r="BT143" s="26"/>
      <c r="BU143" s="26"/>
      <c r="BV143" s="26"/>
      <c r="BW143" s="26"/>
      <c r="BX143" s="26"/>
      <c r="BY143" s="26"/>
      <c r="BZ143" s="26"/>
      <c r="CA143" s="26"/>
      <c r="CB143" s="26"/>
      <c r="CC143" s="26"/>
      <c r="CD143" s="26"/>
      <c r="CE143" s="26"/>
      <c r="CF143" s="26"/>
      <c r="CG143" s="26"/>
      <c r="CH143" s="26"/>
      <c r="CI143" s="26"/>
      <c r="CJ143" s="26"/>
      <c r="CK143" s="26"/>
      <c r="CL143" s="26"/>
      <c r="CM143" s="26"/>
      <c r="CN143" s="26"/>
      <c r="CO143" s="26"/>
      <c r="CP143" s="26"/>
      <c r="CQ143" s="26"/>
      <c r="CR143" s="26"/>
      <c r="CS143" s="26"/>
      <c r="CT143" s="26"/>
      <c r="CU143" s="26"/>
      <c r="CV143" s="26"/>
      <c r="CW143" s="26"/>
      <c r="CX143" s="26"/>
      <c r="CY143" s="26"/>
      <c r="CZ143" s="26"/>
      <c r="DA143" s="26"/>
      <c r="DB143" s="26"/>
      <c r="DC143" s="26"/>
      <c r="DD143" s="26"/>
    </row>
    <row r="144" spans="59:108" x14ac:dyDescent="0.2">
      <c r="BG144" s="26"/>
      <c r="BH144" s="26"/>
      <c r="BI144" s="26"/>
      <c r="BJ144" s="26"/>
      <c r="BK144" s="26"/>
      <c r="BL144" s="26"/>
      <c r="BM144" s="26"/>
      <c r="BN144" s="26"/>
      <c r="BO144" s="26"/>
      <c r="BP144" s="26"/>
      <c r="BQ144" s="26"/>
      <c r="BR144" s="26"/>
      <c r="BS144" s="26"/>
      <c r="BT144" s="26"/>
      <c r="BU144" s="26"/>
      <c r="BV144" s="26"/>
      <c r="BW144" s="26"/>
      <c r="BX144" s="26"/>
      <c r="BY144" s="26"/>
      <c r="BZ144" s="26"/>
      <c r="CA144" s="26"/>
      <c r="CB144" s="26"/>
      <c r="CC144" s="26"/>
      <c r="CD144" s="26"/>
      <c r="CE144" s="26"/>
      <c r="CF144" s="26"/>
      <c r="CG144" s="26"/>
      <c r="CH144" s="26"/>
      <c r="CI144" s="26"/>
      <c r="CJ144" s="26"/>
      <c r="CK144" s="26"/>
      <c r="CL144" s="26"/>
      <c r="CM144" s="26"/>
      <c r="CN144" s="26"/>
      <c r="CO144" s="26"/>
      <c r="CP144" s="26"/>
      <c r="CQ144" s="26"/>
      <c r="CR144" s="26"/>
      <c r="CS144" s="26"/>
      <c r="CT144" s="26"/>
      <c r="CU144" s="26"/>
      <c r="CV144" s="26"/>
      <c r="CW144" s="26"/>
      <c r="CX144" s="26"/>
      <c r="CY144" s="26"/>
      <c r="CZ144" s="26"/>
      <c r="DA144" s="26"/>
      <c r="DB144" s="26"/>
      <c r="DC144" s="26"/>
      <c r="DD144" s="26"/>
    </row>
    <row r="145" spans="59:108" x14ac:dyDescent="0.2">
      <c r="BG145" s="26"/>
      <c r="BH145" s="26"/>
      <c r="BI145" s="26"/>
      <c r="BJ145" s="26"/>
      <c r="BK145" s="26"/>
      <c r="BL145" s="26"/>
      <c r="BM145" s="26"/>
      <c r="BN145" s="26"/>
      <c r="BO145" s="26"/>
      <c r="BP145" s="26"/>
      <c r="BQ145" s="26"/>
      <c r="BR145" s="26"/>
      <c r="BS145" s="26"/>
      <c r="BT145" s="26"/>
      <c r="BU145" s="26"/>
      <c r="BV145" s="26"/>
      <c r="BW145" s="26"/>
      <c r="BX145" s="26"/>
      <c r="BY145" s="26"/>
      <c r="BZ145" s="26"/>
      <c r="CA145" s="26"/>
      <c r="CB145" s="26"/>
      <c r="CC145" s="26"/>
      <c r="CD145" s="26"/>
      <c r="CE145" s="26"/>
      <c r="CF145" s="26"/>
      <c r="CG145" s="26"/>
      <c r="CH145" s="26"/>
      <c r="CI145" s="26"/>
      <c r="CJ145" s="26"/>
      <c r="CK145" s="26"/>
      <c r="CL145" s="26"/>
      <c r="CM145" s="26"/>
      <c r="CN145" s="26"/>
      <c r="CO145" s="26"/>
      <c r="CP145" s="26"/>
      <c r="CQ145" s="26"/>
      <c r="CR145" s="26"/>
      <c r="CS145" s="26"/>
      <c r="CT145" s="26"/>
      <c r="CU145" s="26"/>
      <c r="CV145" s="26"/>
      <c r="CW145" s="26"/>
      <c r="CX145" s="26"/>
      <c r="CY145" s="26"/>
      <c r="CZ145" s="26"/>
      <c r="DA145" s="26"/>
      <c r="DB145" s="26"/>
      <c r="DC145" s="26"/>
      <c r="DD145" s="26"/>
    </row>
    <row r="146" spans="59:108" x14ac:dyDescent="0.2">
      <c r="BG146" s="26"/>
      <c r="BH146" s="26"/>
      <c r="BI146" s="26"/>
      <c r="BJ146" s="26"/>
      <c r="BK146" s="26"/>
      <c r="BL146" s="26"/>
      <c r="BM146" s="26"/>
      <c r="BN146" s="26"/>
      <c r="BO146" s="26"/>
      <c r="BP146" s="26"/>
      <c r="BQ146" s="26"/>
      <c r="BR146" s="26"/>
      <c r="BS146" s="26"/>
      <c r="BT146" s="26"/>
      <c r="BU146" s="26"/>
      <c r="BV146" s="26"/>
      <c r="BW146" s="26"/>
      <c r="BX146" s="26"/>
      <c r="BY146" s="26"/>
      <c r="BZ146" s="26"/>
      <c r="CA146" s="26"/>
      <c r="CB146" s="26"/>
      <c r="CC146" s="26"/>
      <c r="CD146" s="26"/>
      <c r="CE146" s="26"/>
      <c r="CF146" s="26"/>
      <c r="CG146" s="26"/>
      <c r="CH146" s="26"/>
      <c r="CI146" s="26"/>
      <c r="CJ146" s="26"/>
      <c r="CK146" s="26"/>
      <c r="CL146" s="26"/>
      <c r="CM146" s="26"/>
      <c r="CN146" s="26"/>
      <c r="CO146" s="26"/>
      <c r="CP146" s="26"/>
      <c r="CQ146" s="26"/>
      <c r="CR146" s="26"/>
      <c r="CS146" s="26"/>
      <c r="CT146" s="26"/>
      <c r="CU146" s="26"/>
      <c r="CV146" s="26"/>
      <c r="CW146" s="26"/>
      <c r="CX146" s="26"/>
      <c r="CY146" s="26"/>
      <c r="CZ146" s="26"/>
      <c r="DA146" s="26"/>
      <c r="DB146" s="26"/>
      <c r="DC146" s="26"/>
      <c r="DD146" s="26"/>
    </row>
    <row r="147" spans="59:108" x14ac:dyDescent="0.2">
      <c r="BG147" s="26"/>
      <c r="BH147" s="26"/>
      <c r="BI147" s="26"/>
      <c r="BJ147" s="26"/>
      <c r="BK147" s="26"/>
      <c r="BL147" s="26"/>
      <c r="BM147" s="26"/>
      <c r="BN147" s="26"/>
      <c r="BO147" s="26"/>
      <c r="BP147" s="26"/>
      <c r="BQ147" s="26"/>
      <c r="BR147" s="26"/>
      <c r="BS147" s="26"/>
      <c r="BT147" s="26"/>
      <c r="BU147" s="26"/>
      <c r="BV147" s="26"/>
      <c r="BW147" s="26"/>
      <c r="BX147" s="26"/>
      <c r="BY147" s="26"/>
      <c r="BZ147" s="26"/>
      <c r="CA147" s="26"/>
      <c r="CB147" s="26"/>
      <c r="CC147" s="26"/>
      <c r="CD147" s="26"/>
      <c r="CE147" s="26"/>
      <c r="CF147" s="26"/>
      <c r="CG147" s="26"/>
      <c r="CH147" s="26"/>
      <c r="CI147" s="26"/>
      <c r="CJ147" s="26"/>
      <c r="CK147" s="26"/>
      <c r="CL147" s="26"/>
      <c r="CM147" s="26"/>
      <c r="CN147" s="26"/>
      <c r="CO147" s="26"/>
      <c r="CP147" s="26"/>
      <c r="CQ147" s="26"/>
      <c r="CR147" s="26"/>
      <c r="CS147" s="26"/>
      <c r="CT147" s="26"/>
      <c r="CU147" s="26"/>
      <c r="CV147" s="26"/>
      <c r="CW147" s="26"/>
      <c r="CX147" s="26"/>
      <c r="CY147" s="26"/>
      <c r="CZ147" s="26"/>
      <c r="DA147" s="26"/>
      <c r="DB147" s="26"/>
      <c r="DC147" s="26"/>
      <c r="DD147" s="26"/>
    </row>
    <row r="148" spans="59:108" x14ac:dyDescent="0.2">
      <c r="BG148" s="26"/>
      <c r="BH148" s="26"/>
      <c r="BI148" s="26"/>
      <c r="BJ148" s="26"/>
      <c r="BK148" s="26"/>
      <c r="BL148" s="26"/>
      <c r="BM148" s="26"/>
      <c r="BN148" s="26"/>
      <c r="BO148" s="26"/>
      <c r="BP148" s="26"/>
      <c r="BQ148" s="26"/>
      <c r="BR148" s="26"/>
      <c r="BS148" s="26"/>
      <c r="BT148" s="26"/>
      <c r="BU148" s="26"/>
      <c r="BV148" s="26"/>
      <c r="BW148" s="26"/>
      <c r="BX148" s="26"/>
      <c r="BY148" s="26"/>
      <c r="BZ148" s="26"/>
      <c r="CA148" s="26"/>
      <c r="CB148" s="26"/>
      <c r="CC148" s="26"/>
      <c r="CD148" s="26"/>
      <c r="CE148" s="26"/>
      <c r="CF148" s="26"/>
      <c r="CG148" s="26"/>
      <c r="CH148" s="26"/>
      <c r="CI148" s="26"/>
      <c r="CJ148" s="26"/>
      <c r="CK148" s="26"/>
      <c r="CL148" s="26"/>
      <c r="CM148" s="26"/>
      <c r="CN148" s="26"/>
      <c r="CO148" s="26"/>
      <c r="CP148" s="26"/>
      <c r="CQ148" s="26"/>
      <c r="CR148" s="26"/>
      <c r="CS148" s="26"/>
      <c r="CT148" s="26"/>
      <c r="CU148" s="26"/>
      <c r="CV148" s="26"/>
      <c r="CW148" s="26"/>
      <c r="CX148" s="26"/>
      <c r="CY148" s="26"/>
      <c r="CZ148" s="26"/>
      <c r="DA148" s="26"/>
      <c r="DB148" s="26"/>
      <c r="DC148" s="26"/>
      <c r="DD148" s="26"/>
    </row>
    <row r="149" spans="59:108" x14ac:dyDescent="0.2">
      <c r="BG149" s="26"/>
      <c r="BH149" s="26"/>
      <c r="BI149" s="26"/>
      <c r="BJ149" s="26"/>
      <c r="BK149" s="26"/>
      <c r="BL149" s="26"/>
      <c r="BM149" s="26"/>
      <c r="BN149" s="26"/>
      <c r="BO149" s="26"/>
      <c r="BP149" s="26"/>
      <c r="BQ149" s="26"/>
      <c r="BR149" s="26"/>
      <c r="BS149" s="26"/>
      <c r="BT149" s="26"/>
      <c r="BU149" s="26"/>
      <c r="BV149" s="26"/>
      <c r="BW149" s="26"/>
      <c r="BX149" s="26"/>
      <c r="BY149" s="26"/>
      <c r="BZ149" s="26"/>
      <c r="CA149" s="26"/>
      <c r="CB149" s="26"/>
      <c r="CC149" s="26"/>
      <c r="CD149" s="26"/>
      <c r="CE149" s="26"/>
      <c r="CF149" s="26"/>
      <c r="CG149" s="26"/>
      <c r="CH149" s="26"/>
      <c r="CI149" s="26"/>
      <c r="CJ149" s="26"/>
      <c r="CK149" s="26"/>
      <c r="CL149" s="26"/>
      <c r="CM149" s="26"/>
      <c r="CN149" s="26"/>
      <c r="CO149" s="26"/>
      <c r="CP149" s="26"/>
      <c r="CQ149" s="26"/>
      <c r="CR149" s="26"/>
      <c r="CS149" s="26"/>
      <c r="CT149" s="26"/>
      <c r="CU149" s="26"/>
      <c r="CV149" s="26"/>
      <c r="CW149" s="26"/>
      <c r="CX149" s="26"/>
      <c r="CY149" s="26"/>
      <c r="CZ149" s="26"/>
      <c r="DA149" s="26"/>
      <c r="DB149" s="26"/>
      <c r="DC149" s="26"/>
      <c r="DD149" s="26"/>
    </row>
    <row r="150" spans="59:108" x14ac:dyDescent="0.2">
      <c r="BG150" s="26"/>
      <c r="BH150" s="26"/>
      <c r="BI150" s="26"/>
      <c r="BJ150" s="26"/>
      <c r="BK150" s="26"/>
      <c r="BL150" s="26"/>
      <c r="BM150" s="26"/>
      <c r="BN150" s="26"/>
      <c r="BO150" s="26"/>
      <c r="BP150" s="26"/>
      <c r="BQ150" s="26"/>
      <c r="BR150" s="26"/>
      <c r="BS150" s="26"/>
      <c r="BT150" s="26"/>
      <c r="BU150" s="26"/>
      <c r="BV150" s="26"/>
      <c r="BW150" s="26"/>
      <c r="BX150" s="26"/>
      <c r="BY150" s="26"/>
      <c r="BZ150" s="26"/>
      <c r="CA150" s="26"/>
      <c r="CB150" s="26"/>
      <c r="CC150" s="26"/>
      <c r="CD150" s="26"/>
      <c r="CE150" s="26"/>
      <c r="CF150" s="26"/>
      <c r="CG150" s="26"/>
      <c r="CH150" s="26"/>
      <c r="CI150" s="26"/>
      <c r="CJ150" s="26"/>
      <c r="CK150" s="26"/>
      <c r="CL150" s="26"/>
      <c r="CM150" s="26"/>
      <c r="CN150" s="26"/>
      <c r="CO150" s="26"/>
      <c r="CP150" s="26"/>
      <c r="CQ150" s="26"/>
      <c r="CR150" s="26"/>
      <c r="CS150" s="26"/>
      <c r="CT150" s="26"/>
      <c r="CU150" s="26"/>
      <c r="CV150" s="26"/>
      <c r="CW150" s="26"/>
      <c r="CX150" s="26"/>
      <c r="CY150" s="26"/>
      <c r="CZ150" s="26"/>
      <c r="DA150" s="26"/>
      <c r="DB150" s="26"/>
      <c r="DC150" s="26"/>
      <c r="DD150" s="26"/>
    </row>
    <row r="151" spans="59:108" x14ac:dyDescent="0.2">
      <c r="BG151" s="26"/>
      <c r="BH151" s="26"/>
      <c r="BI151" s="26"/>
      <c r="BJ151" s="26"/>
      <c r="BK151" s="26"/>
      <c r="BL151" s="26"/>
      <c r="BM151" s="26"/>
      <c r="BN151" s="26"/>
      <c r="BO151" s="26"/>
      <c r="BP151" s="26"/>
      <c r="BQ151" s="26"/>
      <c r="BR151" s="26"/>
      <c r="BS151" s="26"/>
      <c r="BT151" s="26"/>
      <c r="BU151" s="26"/>
      <c r="BV151" s="26"/>
      <c r="BW151" s="26"/>
      <c r="BX151" s="26"/>
      <c r="BY151" s="26"/>
      <c r="BZ151" s="26"/>
      <c r="CA151" s="26"/>
      <c r="CB151" s="26"/>
      <c r="CC151" s="26"/>
      <c r="CD151" s="26"/>
      <c r="CE151" s="26"/>
      <c r="CF151" s="26"/>
      <c r="CG151" s="26"/>
      <c r="CH151" s="26"/>
      <c r="CI151" s="26"/>
      <c r="CJ151" s="26"/>
      <c r="CK151" s="26"/>
      <c r="CL151" s="26"/>
      <c r="CM151" s="26"/>
      <c r="CN151" s="26"/>
      <c r="CO151" s="26"/>
      <c r="CP151" s="26"/>
      <c r="CQ151" s="26"/>
      <c r="CR151" s="26"/>
      <c r="CS151" s="26"/>
      <c r="CT151" s="26"/>
      <c r="CU151" s="26"/>
      <c r="CV151" s="26"/>
      <c r="CW151" s="26"/>
      <c r="CX151" s="26"/>
      <c r="CY151" s="26"/>
      <c r="CZ151" s="26"/>
      <c r="DA151" s="26"/>
      <c r="DB151" s="26"/>
      <c r="DC151" s="26"/>
      <c r="DD151" s="26"/>
    </row>
    <row r="152" spans="59:108" x14ac:dyDescent="0.2">
      <c r="BG152" s="26"/>
      <c r="BH152" s="26"/>
      <c r="BI152" s="26"/>
      <c r="BJ152" s="26"/>
      <c r="BK152" s="26"/>
      <c r="BL152" s="26"/>
      <c r="BM152" s="26"/>
      <c r="BN152" s="26"/>
      <c r="BO152" s="26"/>
      <c r="BP152" s="26"/>
      <c r="BQ152" s="26"/>
      <c r="BR152" s="26"/>
      <c r="BS152" s="26"/>
      <c r="BT152" s="26"/>
      <c r="BU152" s="26"/>
      <c r="BV152" s="26"/>
      <c r="BW152" s="26"/>
      <c r="BX152" s="26"/>
      <c r="BY152" s="26"/>
      <c r="BZ152" s="26"/>
      <c r="CA152" s="26"/>
      <c r="CB152" s="26"/>
      <c r="CC152" s="26"/>
      <c r="CD152" s="26"/>
      <c r="CE152" s="26"/>
      <c r="CF152" s="26"/>
      <c r="CG152" s="26"/>
      <c r="CH152" s="26"/>
      <c r="CI152" s="26"/>
      <c r="CJ152" s="26"/>
      <c r="CK152" s="26"/>
      <c r="CL152" s="26"/>
      <c r="CM152" s="26"/>
      <c r="CN152" s="26"/>
      <c r="CO152" s="26"/>
      <c r="CP152" s="26"/>
      <c r="CQ152" s="26"/>
      <c r="CR152" s="26"/>
      <c r="CS152" s="26"/>
      <c r="CT152" s="26"/>
      <c r="CU152" s="26"/>
      <c r="CV152" s="26"/>
      <c r="CW152" s="26"/>
      <c r="CX152" s="26"/>
      <c r="CY152" s="26"/>
      <c r="CZ152" s="26"/>
      <c r="DA152" s="26"/>
      <c r="DB152" s="26"/>
      <c r="DC152" s="26"/>
      <c r="DD152" s="26"/>
    </row>
    <row r="153" spans="59:108" x14ac:dyDescent="0.2">
      <c r="BG153" s="26"/>
      <c r="BH153" s="26"/>
      <c r="BI153" s="26"/>
      <c r="BJ153" s="26"/>
      <c r="BK153" s="26"/>
      <c r="BL153" s="26"/>
      <c r="BM153" s="26"/>
      <c r="BN153" s="26"/>
      <c r="BO153" s="26"/>
      <c r="BP153" s="26"/>
      <c r="BQ153" s="26"/>
      <c r="BR153" s="26"/>
      <c r="BS153" s="26"/>
      <c r="BT153" s="26"/>
      <c r="BU153" s="26"/>
      <c r="BV153" s="26"/>
      <c r="BW153" s="26"/>
      <c r="BX153" s="26"/>
      <c r="BY153" s="26"/>
      <c r="BZ153" s="26"/>
      <c r="CA153" s="26"/>
      <c r="CB153" s="26"/>
      <c r="CC153" s="26"/>
      <c r="CD153" s="26"/>
      <c r="CE153" s="26"/>
      <c r="CF153" s="26"/>
      <c r="CG153" s="26"/>
      <c r="CH153" s="26"/>
      <c r="CI153" s="26"/>
      <c r="CJ153" s="26"/>
      <c r="CK153" s="26"/>
      <c r="CL153" s="26"/>
      <c r="CM153" s="26"/>
      <c r="CN153" s="26"/>
      <c r="CO153" s="26"/>
      <c r="CP153" s="26"/>
      <c r="CQ153" s="26"/>
      <c r="CR153" s="26"/>
      <c r="CS153" s="26"/>
      <c r="CT153" s="26"/>
      <c r="CU153" s="26"/>
      <c r="CV153" s="26"/>
      <c r="CW153" s="26"/>
      <c r="CX153" s="26"/>
      <c r="CY153" s="26"/>
      <c r="CZ153" s="26"/>
      <c r="DA153" s="26"/>
      <c r="DB153" s="26"/>
      <c r="DC153" s="26"/>
      <c r="DD153" s="26"/>
    </row>
    <row r="154" spans="59:108" x14ac:dyDescent="0.2">
      <c r="BG154" s="26"/>
      <c r="BH154" s="26"/>
      <c r="BI154" s="26"/>
      <c r="BJ154" s="26"/>
      <c r="BK154" s="26"/>
      <c r="BL154" s="26"/>
      <c r="BM154" s="26"/>
      <c r="BN154" s="26"/>
      <c r="BO154" s="26"/>
      <c r="BP154" s="26"/>
      <c r="BQ154" s="26"/>
      <c r="BR154" s="26"/>
      <c r="BS154" s="26"/>
      <c r="BT154" s="26"/>
      <c r="BU154" s="26"/>
      <c r="BV154" s="26"/>
      <c r="BW154" s="26"/>
      <c r="BX154" s="26"/>
      <c r="BY154" s="26"/>
      <c r="BZ154" s="26"/>
      <c r="CA154" s="26"/>
      <c r="CB154" s="26"/>
      <c r="CC154" s="26"/>
      <c r="CD154" s="26"/>
      <c r="CE154" s="26"/>
      <c r="CF154" s="26"/>
      <c r="CG154" s="26"/>
      <c r="CH154" s="26"/>
      <c r="CI154" s="26"/>
      <c r="CJ154" s="26"/>
      <c r="CK154" s="26"/>
      <c r="CL154" s="26"/>
      <c r="CM154" s="26"/>
      <c r="CN154" s="26"/>
      <c r="CO154" s="26"/>
      <c r="CP154" s="26"/>
      <c r="CQ154" s="26"/>
      <c r="CR154" s="26"/>
      <c r="CS154" s="26"/>
      <c r="CT154" s="26"/>
      <c r="CU154" s="26"/>
      <c r="CV154" s="26"/>
      <c r="CW154" s="26"/>
      <c r="CX154" s="26"/>
      <c r="CY154" s="26"/>
      <c r="CZ154" s="26"/>
      <c r="DA154" s="26"/>
      <c r="DB154" s="26"/>
      <c r="DC154" s="26"/>
      <c r="DD154" s="26"/>
    </row>
    <row r="155" spans="59:108" x14ac:dyDescent="0.2">
      <c r="BG155" s="26"/>
      <c r="BH155" s="26"/>
      <c r="BI155" s="26"/>
      <c r="BJ155" s="26"/>
      <c r="BK155" s="26"/>
      <c r="BL155" s="26"/>
      <c r="BM155" s="26"/>
      <c r="BN155" s="26"/>
      <c r="BO155" s="26"/>
      <c r="BP155" s="26"/>
      <c r="BQ155" s="26"/>
      <c r="BR155" s="26"/>
      <c r="BS155" s="26"/>
      <c r="BT155" s="26"/>
      <c r="BU155" s="26"/>
      <c r="BV155" s="26"/>
      <c r="BW155" s="26"/>
      <c r="BX155" s="26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26"/>
      <c r="CP155" s="26"/>
      <c r="CQ155" s="26"/>
      <c r="CR155" s="26"/>
      <c r="CS155" s="26"/>
      <c r="CT155" s="26"/>
      <c r="CU155" s="26"/>
      <c r="CV155" s="26"/>
      <c r="CW155" s="26"/>
      <c r="CX155" s="26"/>
      <c r="CY155" s="26"/>
      <c r="CZ155" s="26"/>
      <c r="DA155" s="26"/>
      <c r="DB155" s="26"/>
      <c r="DC155" s="26"/>
      <c r="DD155" s="26"/>
    </row>
    <row r="156" spans="59:108" x14ac:dyDescent="0.2">
      <c r="BG156" s="26"/>
      <c r="BH156" s="26"/>
      <c r="BI156" s="26"/>
      <c r="BJ156" s="26"/>
      <c r="BK156" s="26"/>
      <c r="BL156" s="26"/>
      <c r="BM156" s="26"/>
      <c r="BN156" s="26"/>
      <c r="BO156" s="26"/>
      <c r="BP156" s="26"/>
      <c r="BQ156" s="26"/>
      <c r="BR156" s="26"/>
      <c r="BS156" s="26"/>
      <c r="BT156" s="26"/>
      <c r="BU156" s="26"/>
      <c r="BV156" s="26"/>
      <c r="BW156" s="26"/>
      <c r="BX156" s="26"/>
      <c r="BY156" s="26"/>
      <c r="BZ156" s="26"/>
      <c r="CA156" s="26"/>
      <c r="CB156" s="26"/>
      <c r="CC156" s="26"/>
      <c r="CD156" s="26"/>
      <c r="CE156" s="26"/>
      <c r="CF156" s="26"/>
      <c r="CG156" s="26"/>
      <c r="CH156" s="26"/>
      <c r="CI156" s="26"/>
      <c r="CJ156" s="26"/>
      <c r="CK156" s="26"/>
      <c r="CL156" s="26"/>
      <c r="CM156" s="26"/>
      <c r="CN156" s="26"/>
      <c r="CO156" s="26"/>
      <c r="CP156" s="26"/>
      <c r="CQ156" s="26"/>
      <c r="CR156" s="26"/>
      <c r="CS156" s="26"/>
      <c r="CT156" s="26"/>
      <c r="CU156" s="26"/>
      <c r="CV156" s="26"/>
      <c r="CW156" s="26"/>
      <c r="CX156" s="26"/>
      <c r="CY156" s="26"/>
      <c r="CZ156" s="26"/>
      <c r="DA156" s="26"/>
      <c r="DB156" s="26"/>
      <c r="DC156" s="26"/>
      <c r="DD156" s="26"/>
    </row>
    <row r="157" spans="59:108" x14ac:dyDescent="0.2">
      <c r="BG157" s="26"/>
      <c r="BH157" s="26"/>
      <c r="BI157" s="26"/>
      <c r="BJ157" s="26"/>
      <c r="BK157" s="26"/>
      <c r="BL157" s="26"/>
      <c r="BM157" s="26"/>
      <c r="BN157" s="26"/>
      <c r="BO157" s="26"/>
      <c r="BP157" s="26"/>
      <c r="BQ157" s="26"/>
      <c r="BR157" s="26"/>
      <c r="BS157" s="26"/>
      <c r="BT157" s="26"/>
      <c r="BU157" s="26"/>
      <c r="BV157" s="26"/>
      <c r="BW157" s="26"/>
      <c r="BX157" s="26"/>
      <c r="BY157" s="26"/>
      <c r="BZ157" s="26"/>
      <c r="CA157" s="26"/>
      <c r="CB157" s="26"/>
      <c r="CC157" s="26"/>
      <c r="CD157" s="26"/>
      <c r="CE157" s="26"/>
      <c r="CF157" s="26"/>
      <c r="CG157" s="26"/>
      <c r="CH157" s="26"/>
      <c r="CI157" s="26"/>
      <c r="CJ157" s="26"/>
      <c r="CK157" s="26"/>
      <c r="CL157" s="26"/>
      <c r="CM157" s="26"/>
      <c r="CN157" s="26"/>
      <c r="CO157" s="26"/>
      <c r="CP157" s="26"/>
      <c r="CQ157" s="26"/>
      <c r="CR157" s="26"/>
      <c r="CS157" s="26"/>
      <c r="CT157" s="26"/>
      <c r="CU157" s="26"/>
      <c r="CV157" s="26"/>
      <c r="CW157" s="26"/>
      <c r="CX157" s="26"/>
      <c r="CY157" s="26"/>
      <c r="CZ157" s="26"/>
      <c r="DA157" s="26"/>
      <c r="DB157" s="26"/>
      <c r="DC157" s="26"/>
      <c r="DD157" s="26"/>
    </row>
    <row r="158" spans="59:108" x14ac:dyDescent="0.2">
      <c r="BG158" s="26"/>
      <c r="BH158" s="26"/>
      <c r="BI158" s="26"/>
      <c r="BJ158" s="26"/>
      <c r="BK158" s="26"/>
      <c r="BL158" s="26"/>
      <c r="BM158" s="26"/>
      <c r="BN158" s="26"/>
      <c r="BO158" s="26"/>
      <c r="BP158" s="26"/>
      <c r="BQ158" s="26"/>
      <c r="BR158" s="26"/>
      <c r="BS158" s="26"/>
      <c r="BT158" s="26"/>
      <c r="BU158" s="26"/>
      <c r="BV158" s="26"/>
      <c r="BW158" s="26"/>
      <c r="BX158" s="26"/>
      <c r="BY158" s="26"/>
      <c r="BZ158" s="26"/>
      <c r="CA158" s="26"/>
      <c r="CB158" s="26"/>
      <c r="CC158" s="26"/>
      <c r="CD158" s="26"/>
      <c r="CE158" s="26"/>
      <c r="CF158" s="26"/>
      <c r="CG158" s="26"/>
      <c r="CH158" s="26"/>
      <c r="CI158" s="26"/>
      <c r="CJ158" s="26"/>
      <c r="CK158" s="26"/>
      <c r="CL158" s="26"/>
      <c r="CM158" s="26"/>
      <c r="CN158" s="26"/>
      <c r="CO158" s="26"/>
      <c r="CP158" s="26"/>
      <c r="CQ158" s="26"/>
      <c r="CR158" s="26"/>
      <c r="CS158" s="26"/>
      <c r="CT158" s="26"/>
      <c r="CU158" s="26"/>
      <c r="CV158" s="26"/>
      <c r="CW158" s="26"/>
      <c r="CX158" s="26"/>
      <c r="CY158" s="26"/>
      <c r="CZ158" s="26"/>
      <c r="DA158" s="26"/>
      <c r="DB158" s="26"/>
      <c r="DC158" s="26"/>
      <c r="DD158" s="26"/>
    </row>
    <row r="159" spans="59:108" x14ac:dyDescent="0.2">
      <c r="BG159" s="26"/>
      <c r="BH159" s="26"/>
      <c r="BI159" s="26"/>
      <c r="BJ159" s="26"/>
      <c r="BK159" s="26"/>
      <c r="BL159" s="26"/>
      <c r="BM159" s="26"/>
      <c r="BN159" s="26"/>
      <c r="BO159" s="26"/>
      <c r="BP159" s="26"/>
      <c r="BQ159" s="26"/>
      <c r="BR159" s="26"/>
      <c r="BS159" s="26"/>
      <c r="BT159" s="26"/>
      <c r="BU159" s="26"/>
      <c r="BV159" s="26"/>
      <c r="BW159" s="26"/>
      <c r="BX159" s="26"/>
      <c r="BY159" s="26"/>
      <c r="BZ159" s="26"/>
      <c r="CA159" s="26"/>
      <c r="CB159" s="26"/>
      <c r="CC159" s="26"/>
      <c r="CD159" s="26"/>
      <c r="CE159" s="26"/>
      <c r="CF159" s="26"/>
      <c r="CG159" s="26"/>
      <c r="CH159" s="26"/>
      <c r="CI159" s="26"/>
      <c r="CJ159" s="26"/>
      <c r="CK159" s="26"/>
      <c r="CL159" s="26"/>
      <c r="CM159" s="26"/>
      <c r="CN159" s="26"/>
      <c r="CO159" s="26"/>
      <c r="CP159" s="26"/>
      <c r="CQ159" s="26"/>
      <c r="CR159" s="26"/>
      <c r="CS159" s="26"/>
      <c r="CT159" s="26"/>
      <c r="CU159" s="26"/>
      <c r="CV159" s="26"/>
      <c r="CW159" s="26"/>
      <c r="CX159" s="26"/>
      <c r="CY159" s="26"/>
      <c r="CZ159" s="26"/>
      <c r="DA159" s="26"/>
      <c r="DB159" s="26"/>
      <c r="DC159" s="26"/>
      <c r="DD159" s="26"/>
    </row>
    <row r="160" spans="59:108" x14ac:dyDescent="0.2">
      <c r="BG160" s="26"/>
      <c r="BH160" s="26"/>
      <c r="BI160" s="26"/>
      <c r="BJ160" s="26"/>
      <c r="BK160" s="26"/>
      <c r="BL160" s="26"/>
      <c r="BM160" s="26"/>
      <c r="BN160" s="26"/>
      <c r="BO160" s="26"/>
      <c r="BP160" s="26"/>
      <c r="BQ160" s="26"/>
      <c r="BR160" s="26"/>
      <c r="BS160" s="26"/>
      <c r="BT160" s="26"/>
      <c r="BU160" s="26"/>
      <c r="BV160" s="26"/>
      <c r="BW160" s="26"/>
      <c r="BX160" s="26"/>
      <c r="BY160" s="26"/>
      <c r="BZ160" s="26"/>
      <c r="CA160" s="26"/>
      <c r="CB160" s="26"/>
      <c r="CC160" s="26"/>
      <c r="CD160" s="26"/>
      <c r="CE160" s="26"/>
      <c r="CF160" s="26"/>
      <c r="CG160" s="26"/>
      <c r="CH160" s="26"/>
      <c r="CI160" s="26"/>
      <c r="CJ160" s="26"/>
      <c r="CK160" s="26"/>
      <c r="CL160" s="26"/>
      <c r="CM160" s="26"/>
      <c r="CN160" s="26"/>
      <c r="CO160" s="26"/>
      <c r="CP160" s="26"/>
      <c r="CQ160" s="26"/>
      <c r="CR160" s="26"/>
      <c r="CS160" s="26"/>
      <c r="CT160" s="26"/>
      <c r="CU160" s="26"/>
      <c r="CV160" s="26"/>
      <c r="CW160" s="26"/>
      <c r="CX160" s="26"/>
      <c r="CY160" s="26"/>
      <c r="CZ160" s="26"/>
      <c r="DA160" s="26"/>
      <c r="DB160" s="26"/>
      <c r="DC160" s="26"/>
      <c r="DD160" s="26"/>
    </row>
    <row r="161" spans="59:108" x14ac:dyDescent="0.2">
      <c r="BG161" s="26"/>
      <c r="BH161" s="26"/>
      <c r="BI161" s="26"/>
      <c r="BJ161" s="26"/>
      <c r="BK161" s="26"/>
      <c r="BL161" s="26"/>
      <c r="BM161" s="26"/>
      <c r="BN161" s="26"/>
      <c r="BO161" s="26"/>
      <c r="BP161" s="26"/>
      <c r="BQ161" s="26"/>
      <c r="BR161" s="26"/>
      <c r="BS161" s="26"/>
      <c r="BT161" s="26"/>
      <c r="BU161" s="26"/>
      <c r="BV161" s="26"/>
      <c r="BW161" s="26"/>
      <c r="BX161" s="26"/>
      <c r="BY161" s="26"/>
      <c r="BZ161" s="26"/>
      <c r="CA161" s="26"/>
      <c r="CB161" s="26"/>
      <c r="CC161" s="26"/>
      <c r="CD161" s="26"/>
      <c r="CE161" s="26"/>
      <c r="CF161" s="26"/>
      <c r="CG161" s="26"/>
      <c r="CH161" s="26"/>
      <c r="CI161" s="26"/>
      <c r="CJ161" s="26"/>
      <c r="CK161" s="26"/>
      <c r="CL161" s="26"/>
      <c r="CM161" s="26"/>
      <c r="CN161" s="26"/>
      <c r="CO161" s="26"/>
      <c r="CP161" s="26"/>
      <c r="CQ161" s="26"/>
      <c r="CR161" s="26"/>
      <c r="CS161" s="26"/>
      <c r="CT161" s="26"/>
      <c r="CU161" s="26"/>
      <c r="CV161" s="26"/>
      <c r="CW161" s="26"/>
      <c r="CX161" s="26"/>
      <c r="CY161" s="26"/>
      <c r="CZ161" s="26"/>
      <c r="DA161" s="26"/>
      <c r="DB161" s="26"/>
      <c r="DC161" s="26"/>
      <c r="DD161" s="26"/>
    </row>
    <row r="162" spans="59:108" x14ac:dyDescent="0.2">
      <c r="BG162" s="26"/>
      <c r="BH162" s="26"/>
      <c r="BI162" s="26"/>
      <c r="BJ162" s="26"/>
      <c r="BK162" s="26"/>
      <c r="BL162" s="26"/>
      <c r="BM162" s="26"/>
      <c r="BN162" s="26"/>
      <c r="BO162" s="26"/>
      <c r="BP162" s="26"/>
      <c r="BQ162" s="26"/>
      <c r="BR162" s="26"/>
      <c r="BS162" s="26"/>
      <c r="BT162" s="26"/>
      <c r="BU162" s="26"/>
      <c r="BV162" s="26"/>
      <c r="BW162" s="26"/>
      <c r="BX162" s="26"/>
      <c r="BY162" s="26"/>
      <c r="BZ162" s="26"/>
      <c r="CA162" s="26"/>
      <c r="CB162" s="26"/>
      <c r="CC162" s="26"/>
      <c r="CD162" s="26"/>
      <c r="CE162" s="26"/>
      <c r="CF162" s="26"/>
      <c r="CG162" s="26"/>
      <c r="CH162" s="26"/>
      <c r="CI162" s="26"/>
      <c r="CJ162" s="26"/>
      <c r="CK162" s="26"/>
      <c r="CL162" s="26"/>
      <c r="CM162" s="26"/>
      <c r="CN162" s="26"/>
      <c r="CO162" s="26"/>
      <c r="CP162" s="26"/>
      <c r="CQ162" s="26"/>
      <c r="CR162" s="26"/>
      <c r="CS162" s="26"/>
      <c r="CT162" s="26"/>
      <c r="CU162" s="26"/>
      <c r="CV162" s="26"/>
      <c r="CW162" s="26"/>
      <c r="CX162" s="26"/>
      <c r="CY162" s="26"/>
      <c r="CZ162" s="26"/>
      <c r="DA162" s="26"/>
      <c r="DB162" s="26"/>
      <c r="DC162" s="26"/>
      <c r="DD162" s="26"/>
    </row>
    <row r="163" spans="59:108" x14ac:dyDescent="0.2">
      <c r="BG163" s="26"/>
      <c r="BH163" s="26"/>
      <c r="BI163" s="26"/>
      <c r="BJ163" s="26"/>
      <c r="BK163" s="26"/>
      <c r="BL163" s="26"/>
      <c r="BM163" s="26"/>
      <c r="BN163" s="26"/>
      <c r="BO163" s="26"/>
      <c r="BP163" s="26"/>
      <c r="BQ163" s="26"/>
      <c r="BR163" s="26"/>
      <c r="BS163" s="26"/>
      <c r="BT163" s="26"/>
      <c r="BU163" s="26"/>
      <c r="BV163" s="26"/>
      <c r="BW163" s="26"/>
      <c r="BX163" s="26"/>
      <c r="BY163" s="26"/>
      <c r="BZ163" s="26"/>
      <c r="CA163" s="26"/>
      <c r="CB163" s="26"/>
      <c r="CC163" s="26"/>
      <c r="CD163" s="26"/>
      <c r="CE163" s="26"/>
      <c r="CF163" s="26"/>
      <c r="CG163" s="26"/>
      <c r="CH163" s="26"/>
      <c r="CI163" s="26"/>
      <c r="CJ163" s="26"/>
      <c r="CK163" s="26"/>
      <c r="CL163" s="26"/>
      <c r="CM163" s="26"/>
      <c r="CN163" s="26"/>
      <c r="CO163" s="26"/>
      <c r="CP163" s="26"/>
      <c r="CQ163" s="26"/>
      <c r="CR163" s="26"/>
      <c r="CS163" s="26"/>
      <c r="CT163" s="26"/>
      <c r="CU163" s="26"/>
      <c r="CV163" s="26"/>
      <c r="CW163" s="26"/>
      <c r="CX163" s="26"/>
      <c r="CY163" s="26"/>
      <c r="CZ163" s="26"/>
      <c r="DA163" s="26"/>
      <c r="DB163" s="26"/>
      <c r="DC163" s="26"/>
      <c r="DD163" s="26"/>
    </row>
    <row r="164" spans="59:108" x14ac:dyDescent="0.2">
      <c r="BG164" s="26"/>
      <c r="BH164" s="26"/>
      <c r="BI164" s="26"/>
      <c r="BJ164" s="26"/>
      <c r="BK164" s="26"/>
      <c r="BL164" s="26"/>
      <c r="BM164" s="26"/>
      <c r="BN164" s="26"/>
      <c r="BO164" s="26"/>
      <c r="BP164" s="26"/>
      <c r="BQ164" s="26"/>
      <c r="BR164" s="26"/>
      <c r="BS164" s="26"/>
      <c r="BT164" s="26"/>
      <c r="BU164" s="26"/>
      <c r="BV164" s="26"/>
      <c r="BW164" s="26"/>
      <c r="BX164" s="26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26"/>
      <c r="CP164" s="26"/>
      <c r="CQ164" s="26"/>
      <c r="CR164" s="26"/>
      <c r="CS164" s="26"/>
      <c r="CT164" s="26"/>
      <c r="CU164" s="26"/>
      <c r="CV164" s="26"/>
      <c r="CW164" s="26"/>
      <c r="CX164" s="26"/>
      <c r="CY164" s="26"/>
      <c r="CZ164" s="26"/>
      <c r="DA164" s="26"/>
      <c r="DB164" s="26"/>
      <c r="DC164" s="26"/>
      <c r="DD164" s="26"/>
    </row>
    <row r="165" spans="59:108" x14ac:dyDescent="0.2">
      <c r="BG165" s="26"/>
      <c r="BH165" s="26"/>
      <c r="BI165" s="26"/>
      <c r="BJ165" s="26"/>
      <c r="BK165" s="26"/>
      <c r="BL165" s="26"/>
      <c r="BM165" s="26"/>
      <c r="BN165" s="26"/>
      <c r="BO165" s="26"/>
      <c r="BP165" s="26"/>
      <c r="BQ165" s="26"/>
      <c r="BR165" s="26"/>
      <c r="BS165" s="26"/>
      <c r="BT165" s="26"/>
      <c r="BU165" s="26"/>
      <c r="BV165" s="26"/>
      <c r="BW165" s="26"/>
      <c r="BX165" s="26"/>
      <c r="BY165" s="26"/>
      <c r="BZ165" s="26"/>
      <c r="CA165" s="26"/>
      <c r="CB165" s="26"/>
      <c r="CC165" s="26"/>
      <c r="CD165" s="26"/>
      <c r="CE165" s="26"/>
      <c r="CF165" s="26"/>
      <c r="CG165" s="26"/>
      <c r="CH165" s="26"/>
      <c r="CI165" s="26"/>
      <c r="CJ165" s="26"/>
      <c r="CK165" s="26"/>
      <c r="CL165" s="26"/>
      <c r="CM165" s="26"/>
      <c r="CN165" s="26"/>
      <c r="CO165" s="26"/>
      <c r="CP165" s="26"/>
      <c r="CQ165" s="26"/>
      <c r="CR165" s="26"/>
      <c r="CS165" s="26"/>
      <c r="CT165" s="26"/>
      <c r="CU165" s="26"/>
      <c r="CV165" s="26"/>
      <c r="CW165" s="26"/>
      <c r="CX165" s="26"/>
      <c r="CY165" s="26"/>
      <c r="CZ165" s="26"/>
      <c r="DA165" s="26"/>
      <c r="DB165" s="26"/>
      <c r="DC165" s="26"/>
      <c r="DD165" s="26"/>
    </row>
    <row r="166" spans="59:108" x14ac:dyDescent="0.2">
      <c r="BG166" s="26"/>
      <c r="BH166" s="26"/>
      <c r="BI166" s="26"/>
      <c r="BJ166" s="26"/>
      <c r="BK166" s="26"/>
      <c r="BL166" s="26"/>
      <c r="BM166" s="26"/>
      <c r="BN166" s="26"/>
      <c r="BO166" s="26"/>
      <c r="BP166" s="26"/>
      <c r="BQ166" s="26"/>
      <c r="BR166" s="26"/>
      <c r="BS166" s="26"/>
      <c r="BT166" s="26"/>
      <c r="BU166" s="26"/>
      <c r="BV166" s="26"/>
      <c r="BW166" s="26"/>
      <c r="BX166" s="26"/>
      <c r="BY166" s="26"/>
      <c r="BZ166" s="26"/>
      <c r="CA166" s="26"/>
      <c r="CB166" s="26"/>
      <c r="CC166" s="26"/>
      <c r="CD166" s="26"/>
      <c r="CE166" s="26"/>
      <c r="CF166" s="26"/>
      <c r="CG166" s="26"/>
      <c r="CH166" s="26"/>
      <c r="CI166" s="26"/>
      <c r="CJ166" s="26"/>
      <c r="CK166" s="26"/>
      <c r="CL166" s="26"/>
      <c r="CM166" s="26"/>
      <c r="CN166" s="26"/>
      <c r="CO166" s="26"/>
      <c r="CP166" s="26"/>
      <c r="CQ166" s="26"/>
      <c r="CR166" s="26"/>
      <c r="CS166" s="26"/>
      <c r="CT166" s="26"/>
      <c r="CU166" s="26"/>
      <c r="CV166" s="26"/>
      <c r="CW166" s="26"/>
      <c r="CX166" s="26"/>
      <c r="CY166" s="26"/>
      <c r="CZ166" s="26"/>
      <c r="DA166" s="26"/>
      <c r="DB166" s="26"/>
      <c r="DC166" s="26"/>
      <c r="DD166" s="26"/>
    </row>
    <row r="167" spans="59:108" x14ac:dyDescent="0.2">
      <c r="BG167" s="26"/>
      <c r="BH167" s="26"/>
      <c r="BI167" s="26"/>
      <c r="BJ167" s="26"/>
      <c r="BK167" s="26"/>
      <c r="BL167" s="26"/>
      <c r="BM167" s="26"/>
      <c r="BN167" s="26"/>
      <c r="BO167" s="26"/>
      <c r="BP167" s="26"/>
      <c r="BQ167" s="26"/>
      <c r="BR167" s="26"/>
      <c r="BS167" s="26"/>
      <c r="BT167" s="26"/>
      <c r="BU167" s="26"/>
      <c r="BV167" s="26"/>
      <c r="BW167" s="26"/>
      <c r="BX167" s="26"/>
      <c r="BY167" s="26"/>
      <c r="BZ167" s="26"/>
      <c r="CA167" s="26"/>
      <c r="CB167" s="26"/>
      <c r="CC167" s="26"/>
      <c r="CD167" s="26"/>
      <c r="CE167" s="26"/>
      <c r="CF167" s="26"/>
      <c r="CG167" s="26"/>
      <c r="CH167" s="26"/>
      <c r="CI167" s="26"/>
      <c r="CJ167" s="26"/>
      <c r="CK167" s="26"/>
      <c r="CL167" s="26"/>
      <c r="CM167" s="26"/>
      <c r="CN167" s="26"/>
      <c r="CO167" s="26"/>
      <c r="CP167" s="26"/>
      <c r="CQ167" s="26"/>
      <c r="CR167" s="26"/>
      <c r="CS167" s="26"/>
      <c r="CT167" s="26"/>
      <c r="CU167" s="26"/>
      <c r="CV167" s="26"/>
      <c r="CW167" s="26"/>
      <c r="CX167" s="26"/>
      <c r="CY167" s="26"/>
      <c r="CZ167" s="26"/>
      <c r="DA167" s="26"/>
      <c r="DB167" s="26"/>
      <c r="DC167" s="26"/>
      <c r="DD167" s="26"/>
    </row>
    <row r="168" spans="59:108" x14ac:dyDescent="0.2">
      <c r="BG168" s="26"/>
      <c r="BH168" s="26"/>
      <c r="BI168" s="26"/>
      <c r="BJ168" s="26"/>
      <c r="BK168" s="26"/>
      <c r="BL168" s="26"/>
      <c r="BM168" s="26"/>
      <c r="BN168" s="26"/>
      <c r="BO168" s="26"/>
      <c r="BP168" s="26"/>
      <c r="BQ168" s="26"/>
      <c r="BR168" s="26"/>
      <c r="BS168" s="26"/>
      <c r="BT168" s="26"/>
      <c r="BU168" s="26"/>
      <c r="BV168" s="26"/>
      <c r="BW168" s="26"/>
      <c r="BX168" s="26"/>
      <c r="BY168" s="26"/>
      <c r="BZ168" s="26"/>
      <c r="CA168" s="26"/>
      <c r="CB168" s="26"/>
      <c r="CC168" s="26"/>
      <c r="CD168" s="26"/>
      <c r="CE168" s="26"/>
      <c r="CF168" s="26"/>
      <c r="CG168" s="26"/>
      <c r="CH168" s="26"/>
      <c r="CI168" s="26"/>
      <c r="CJ168" s="26"/>
      <c r="CK168" s="26"/>
      <c r="CL168" s="26"/>
      <c r="CM168" s="26"/>
      <c r="CN168" s="26"/>
      <c r="CO168" s="26"/>
      <c r="CP168" s="26"/>
      <c r="CQ168" s="26"/>
      <c r="CR168" s="26"/>
      <c r="CS168" s="26"/>
      <c r="CT168" s="26"/>
      <c r="CU168" s="26"/>
      <c r="CV168" s="26"/>
      <c r="CW168" s="26"/>
      <c r="CX168" s="26"/>
      <c r="CY168" s="26"/>
      <c r="CZ168" s="26"/>
      <c r="DA168" s="26"/>
      <c r="DB168" s="26"/>
      <c r="DC168" s="26"/>
      <c r="DD168" s="26"/>
    </row>
    <row r="169" spans="59:108" x14ac:dyDescent="0.2">
      <c r="BG169" s="26"/>
      <c r="BH169" s="26"/>
      <c r="BI169" s="26"/>
      <c r="BJ169" s="26"/>
      <c r="BK169" s="26"/>
      <c r="BL169" s="26"/>
      <c r="BM169" s="26"/>
      <c r="BN169" s="26"/>
      <c r="BO169" s="26"/>
      <c r="BP169" s="26"/>
      <c r="BQ169" s="26"/>
      <c r="BR169" s="26"/>
      <c r="BS169" s="26"/>
      <c r="BT169" s="26"/>
      <c r="BU169" s="26"/>
      <c r="BV169" s="26"/>
      <c r="BW169" s="26"/>
      <c r="BX169" s="26"/>
      <c r="BY169" s="26"/>
      <c r="BZ169" s="26"/>
      <c r="CA169" s="26"/>
      <c r="CB169" s="26"/>
      <c r="CC169" s="26"/>
      <c r="CD169" s="26"/>
      <c r="CE169" s="26"/>
      <c r="CF169" s="26"/>
      <c r="CG169" s="26"/>
      <c r="CH169" s="26"/>
      <c r="CI169" s="26"/>
      <c r="CJ169" s="26"/>
      <c r="CK169" s="26"/>
      <c r="CL169" s="26"/>
      <c r="CM169" s="26"/>
      <c r="CN169" s="26"/>
      <c r="CO169" s="26"/>
      <c r="CP169" s="26"/>
      <c r="CQ169" s="26"/>
      <c r="CR169" s="26"/>
      <c r="CS169" s="26"/>
      <c r="CT169" s="26"/>
      <c r="CU169" s="26"/>
      <c r="CV169" s="26"/>
      <c r="CW169" s="26"/>
      <c r="CX169" s="26"/>
      <c r="CY169" s="26"/>
      <c r="CZ169" s="26"/>
      <c r="DA169" s="26"/>
      <c r="DB169" s="26"/>
      <c r="DC169" s="26"/>
      <c r="DD169" s="26"/>
    </row>
    <row r="170" spans="59:108" x14ac:dyDescent="0.2">
      <c r="BG170" s="26"/>
      <c r="BH170" s="26"/>
      <c r="BI170" s="26"/>
      <c r="BJ170" s="26"/>
      <c r="BK170" s="26"/>
      <c r="BL170" s="26"/>
      <c r="BM170" s="26"/>
      <c r="BN170" s="26"/>
      <c r="BO170" s="26"/>
      <c r="BP170" s="26"/>
      <c r="BQ170" s="26"/>
      <c r="BR170" s="26"/>
      <c r="BS170" s="26"/>
      <c r="BT170" s="26"/>
      <c r="BU170" s="26"/>
      <c r="BV170" s="26"/>
      <c r="BW170" s="26"/>
      <c r="BX170" s="26"/>
      <c r="BY170" s="26"/>
      <c r="BZ170" s="26"/>
      <c r="CA170" s="26"/>
      <c r="CB170" s="26"/>
      <c r="CC170" s="26"/>
      <c r="CD170" s="26"/>
      <c r="CE170" s="26"/>
      <c r="CF170" s="26"/>
      <c r="CG170" s="26"/>
      <c r="CH170" s="26"/>
      <c r="CI170" s="26"/>
      <c r="CJ170" s="26"/>
      <c r="CK170" s="26"/>
      <c r="CL170" s="26"/>
      <c r="CM170" s="26"/>
      <c r="CN170" s="26"/>
      <c r="CO170" s="26"/>
      <c r="CP170" s="26"/>
      <c r="CQ170" s="26"/>
      <c r="CR170" s="26"/>
      <c r="CS170" s="26"/>
      <c r="CT170" s="26"/>
      <c r="CU170" s="26"/>
      <c r="CV170" s="26"/>
      <c r="CW170" s="26"/>
      <c r="CX170" s="26"/>
      <c r="CY170" s="26"/>
      <c r="CZ170" s="26"/>
      <c r="DA170" s="26"/>
      <c r="DB170" s="26"/>
      <c r="DC170" s="26"/>
      <c r="DD170" s="26"/>
    </row>
    <row r="171" spans="59:108" x14ac:dyDescent="0.2">
      <c r="BG171" s="26"/>
      <c r="BH171" s="26"/>
      <c r="BI171" s="26"/>
      <c r="BJ171" s="26"/>
      <c r="BK171" s="26"/>
      <c r="BL171" s="26"/>
      <c r="BM171" s="26"/>
      <c r="BN171" s="26"/>
      <c r="BO171" s="26"/>
      <c r="BP171" s="26"/>
      <c r="BQ171" s="26"/>
      <c r="BR171" s="26"/>
      <c r="BS171" s="26"/>
      <c r="BT171" s="26"/>
      <c r="BU171" s="26"/>
      <c r="BV171" s="26"/>
      <c r="BW171" s="26"/>
      <c r="BX171" s="26"/>
      <c r="BY171" s="26"/>
      <c r="BZ171" s="26"/>
      <c r="CA171" s="26"/>
      <c r="CB171" s="26"/>
      <c r="CC171" s="26"/>
      <c r="CD171" s="26"/>
      <c r="CE171" s="26"/>
      <c r="CF171" s="26"/>
      <c r="CG171" s="26"/>
      <c r="CH171" s="26"/>
      <c r="CI171" s="26"/>
      <c r="CJ171" s="26"/>
      <c r="CK171" s="26"/>
      <c r="CL171" s="26"/>
      <c r="CM171" s="26"/>
      <c r="CN171" s="26"/>
      <c r="CO171" s="26"/>
      <c r="CP171" s="26"/>
      <c r="CQ171" s="26"/>
      <c r="CR171" s="26"/>
      <c r="CS171" s="26"/>
      <c r="CT171" s="26"/>
      <c r="CU171" s="26"/>
      <c r="CV171" s="26"/>
      <c r="CW171" s="26"/>
      <c r="CX171" s="26"/>
      <c r="CY171" s="26"/>
      <c r="CZ171" s="26"/>
      <c r="DA171" s="26"/>
      <c r="DB171" s="26"/>
      <c r="DC171" s="26"/>
      <c r="DD171" s="26"/>
    </row>
    <row r="172" spans="59:108" x14ac:dyDescent="0.2">
      <c r="BG172" s="26"/>
      <c r="BH172" s="26"/>
      <c r="BI172" s="26"/>
      <c r="BJ172" s="26"/>
      <c r="BK172" s="26"/>
      <c r="BL172" s="26"/>
      <c r="BM172" s="26"/>
      <c r="BN172" s="26"/>
      <c r="BO172" s="26"/>
      <c r="BP172" s="26"/>
      <c r="BQ172" s="26"/>
      <c r="BR172" s="26"/>
      <c r="BS172" s="26"/>
      <c r="BT172" s="26"/>
      <c r="BU172" s="26"/>
      <c r="BV172" s="26"/>
      <c r="BW172" s="26"/>
      <c r="BX172" s="26"/>
      <c r="BY172" s="26"/>
      <c r="BZ172" s="26"/>
      <c r="CA172" s="26"/>
      <c r="CB172" s="26"/>
      <c r="CC172" s="26"/>
      <c r="CD172" s="26"/>
      <c r="CE172" s="26"/>
      <c r="CF172" s="26"/>
      <c r="CG172" s="26"/>
      <c r="CH172" s="26"/>
      <c r="CI172" s="26"/>
      <c r="CJ172" s="26"/>
      <c r="CK172" s="26"/>
      <c r="CL172" s="26"/>
      <c r="CM172" s="26"/>
      <c r="CN172" s="26"/>
      <c r="CO172" s="26"/>
      <c r="CP172" s="26"/>
      <c r="CQ172" s="26"/>
      <c r="CR172" s="26"/>
      <c r="CS172" s="26"/>
      <c r="CT172" s="26"/>
      <c r="CU172" s="26"/>
      <c r="CV172" s="26"/>
      <c r="CW172" s="26"/>
      <c r="CX172" s="26"/>
      <c r="CY172" s="26"/>
      <c r="CZ172" s="26"/>
      <c r="DA172" s="26"/>
      <c r="DB172" s="26"/>
      <c r="DC172" s="26"/>
      <c r="DD172" s="26"/>
    </row>
    <row r="173" spans="59:108" x14ac:dyDescent="0.2">
      <c r="BG173" s="26"/>
      <c r="BH173" s="26"/>
      <c r="BI173" s="26"/>
      <c r="BJ173" s="26"/>
      <c r="BK173" s="26"/>
      <c r="BL173" s="26"/>
      <c r="BM173" s="26"/>
      <c r="BN173" s="26"/>
      <c r="BO173" s="26"/>
      <c r="BP173" s="26"/>
      <c r="BQ173" s="26"/>
      <c r="BR173" s="26"/>
      <c r="BS173" s="26"/>
      <c r="BT173" s="26"/>
      <c r="BU173" s="26"/>
      <c r="BV173" s="26"/>
      <c r="BW173" s="26"/>
      <c r="BX173" s="26"/>
      <c r="BY173" s="26"/>
      <c r="BZ173" s="26"/>
      <c r="CA173" s="26"/>
      <c r="CB173" s="26"/>
      <c r="CC173" s="26"/>
      <c r="CD173" s="26"/>
      <c r="CE173" s="26"/>
      <c r="CF173" s="26"/>
      <c r="CG173" s="26"/>
      <c r="CH173" s="26"/>
      <c r="CI173" s="26"/>
      <c r="CJ173" s="26"/>
      <c r="CK173" s="26"/>
      <c r="CL173" s="26"/>
      <c r="CM173" s="26"/>
      <c r="CN173" s="26"/>
      <c r="CO173" s="26"/>
      <c r="CP173" s="26"/>
      <c r="CQ173" s="26"/>
      <c r="CR173" s="26"/>
      <c r="CS173" s="26"/>
      <c r="CT173" s="26"/>
      <c r="CU173" s="26"/>
      <c r="CV173" s="26"/>
      <c r="CW173" s="26"/>
      <c r="CX173" s="26"/>
      <c r="CY173" s="26"/>
      <c r="CZ173" s="26"/>
      <c r="DA173" s="26"/>
      <c r="DB173" s="26"/>
      <c r="DC173" s="26"/>
      <c r="DD173" s="26"/>
    </row>
    <row r="174" spans="59:108" x14ac:dyDescent="0.2">
      <c r="BG174" s="26"/>
      <c r="BH174" s="26"/>
      <c r="BI174" s="26"/>
      <c r="BJ174" s="26"/>
      <c r="BK174" s="26"/>
      <c r="BL174" s="26"/>
      <c r="BM174" s="26"/>
      <c r="BN174" s="26"/>
      <c r="BO174" s="26"/>
      <c r="BP174" s="26"/>
      <c r="BQ174" s="26"/>
      <c r="BR174" s="26"/>
      <c r="BS174" s="26"/>
      <c r="BT174" s="26"/>
      <c r="BU174" s="26"/>
      <c r="BV174" s="26"/>
      <c r="BW174" s="26"/>
      <c r="BX174" s="26"/>
      <c r="BY174" s="26"/>
      <c r="BZ174" s="26"/>
      <c r="CA174" s="26"/>
      <c r="CB174" s="26"/>
      <c r="CC174" s="26"/>
      <c r="CD174" s="26"/>
      <c r="CE174" s="26"/>
      <c r="CF174" s="26"/>
      <c r="CG174" s="26"/>
      <c r="CH174" s="26"/>
      <c r="CI174" s="26"/>
      <c r="CJ174" s="26"/>
      <c r="CK174" s="26"/>
      <c r="CL174" s="26"/>
      <c r="CM174" s="26"/>
      <c r="CN174" s="26"/>
      <c r="CO174" s="26"/>
      <c r="CP174" s="26"/>
      <c r="CQ174" s="26"/>
      <c r="CR174" s="26"/>
      <c r="CS174" s="26"/>
      <c r="CT174" s="26"/>
      <c r="CU174" s="26"/>
      <c r="CV174" s="26"/>
      <c r="CW174" s="26"/>
      <c r="CX174" s="26"/>
      <c r="CY174" s="26"/>
      <c r="CZ174" s="26"/>
      <c r="DA174" s="26"/>
      <c r="DB174" s="26"/>
      <c r="DC174" s="26"/>
      <c r="DD174" s="26"/>
    </row>
    <row r="175" spans="59:108" x14ac:dyDescent="0.2">
      <c r="BG175" s="26"/>
      <c r="BH175" s="26"/>
      <c r="BI175" s="26"/>
      <c r="BJ175" s="26"/>
      <c r="BK175" s="26"/>
      <c r="BL175" s="26"/>
      <c r="BM175" s="26"/>
      <c r="BN175" s="26"/>
      <c r="BO175" s="26"/>
      <c r="BP175" s="26"/>
      <c r="BQ175" s="26"/>
      <c r="BR175" s="26"/>
      <c r="BS175" s="26"/>
      <c r="BT175" s="26"/>
      <c r="BU175" s="26"/>
      <c r="BV175" s="26"/>
      <c r="BW175" s="26"/>
      <c r="BX175" s="26"/>
      <c r="BY175" s="26"/>
      <c r="BZ175" s="26"/>
      <c r="CA175" s="26"/>
      <c r="CB175" s="26"/>
      <c r="CC175" s="26"/>
      <c r="CD175" s="26"/>
      <c r="CE175" s="26"/>
      <c r="CF175" s="26"/>
      <c r="CG175" s="26"/>
      <c r="CH175" s="26"/>
      <c r="CI175" s="26"/>
      <c r="CJ175" s="26"/>
      <c r="CK175" s="26"/>
      <c r="CL175" s="26"/>
      <c r="CM175" s="26"/>
      <c r="CN175" s="26"/>
      <c r="CO175" s="26"/>
      <c r="CP175" s="26"/>
      <c r="CQ175" s="26"/>
      <c r="CR175" s="26"/>
      <c r="CS175" s="26"/>
      <c r="CT175" s="26"/>
      <c r="CU175" s="26"/>
      <c r="CV175" s="26"/>
      <c r="CW175" s="26"/>
      <c r="CX175" s="26"/>
      <c r="CY175" s="26"/>
      <c r="CZ175" s="26"/>
      <c r="DA175" s="26"/>
      <c r="DB175" s="26"/>
      <c r="DC175" s="26"/>
      <c r="DD175" s="26"/>
    </row>
    <row r="176" spans="59:108" x14ac:dyDescent="0.2">
      <c r="BG176" s="26"/>
      <c r="BH176" s="26"/>
      <c r="BI176" s="26"/>
      <c r="BJ176" s="26"/>
      <c r="BK176" s="26"/>
      <c r="BL176" s="26"/>
      <c r="BM176" s="26"/>
      <c r="BN176" s="26"/>
      <c r="BO176" s="26"/>
      <c r="BP176" s="26"/>
      <c r="BQ176" s="26"/>
      <c r="BR176" s="26"/>
      <c r="BS176" s="26"/>
      <c r="BT176" s="26"/>
      <c r="BU176" s="26"/>
      <c r="BV176" s="26"/>
      <c r="BW176" s="26"/>
      <c r="BX176" s="26"/>
      <c r="BY176" s="26"/>
      <c r="BZ176" s="26"/>
      <c r="CA176" s="26"/>
      <c r="CB176" s="26"/>
      <c r="CC176" s="26"/>
      <c r="CD176" s="26"/>
      <c r="CE176" s="26"/>
      <c r="CF176" s="26"/>
      <c r="CG176" s="26"/>
      <c r="CH176" s="26"/>
      <c r="CI176" s="26"/>
      <c r="CJ176" s="26"/>
      <c r="CK176" s="26"/>
      <c r="CL176" s="26"/>
      <c r="CM176" s="26"/>
      <c r="CN176" s="26"/>
      <c r="CO176" s="26"/>
      <c r="CP176" s="26"/>
      <c r="CQ176" s="26"/>
      <c r="CR176" s="26"/>
      <c r="CS176" s="26"/>
      <c r="CT176" s="26"/>
      <c r="CU176" s="26"/>
      <c r="CV176" s="26"/>
      <c r="CW176" s="26"/>
      <c r="CX176" s="26"/>
      <c r="CY176" s="26"/>
      <c r="CZ176" s="26"/>
      <c r="DA176" s="26"/>
      <c r="DB176" s="26"/>
      <c r="DC176" s="26"/>
      <c r="DD176" s="26"/>
    </row>
    <row r="177" spans="59:108" x14ac:dyDescent="0.2">
      <c r="BG177" s="26"/>
      <c r="BH177" s="26"/>
      <c r="BI177" s="26"/>
      <c r="BJ177" s="26"/>
      <c r="BK177" s="26"/>
      <c r="BL177" s="26"/>
      <c r="BM177" s="26"/>
      <c r="BN177" s="26"/>
      <c r="BO177" s="26"/>
      <c r="BP177" s="26"/>
      <c r="BQ177" s="26"/>
      <c r="BR177" s="26"/>
      <c r="BS177" s="26"/>
      <c r="BT177" s="26"/>
      <c r="BU177" s="26"/>
      <c r="BV177" s="26"/>
      <c r="BW177" s="26"/>
      <c r="BX177" s="26"/>
      <c r="BY177" s="26"/>
      <c r="BZ177" s="26"/>
      <c r="CA177" s="26"/>
      <c r="CB177" s="26"/>
      <c r="CC177" s="26"/>
      <c r="CD177" s="26"/>
      <c r="CE177" s="26"/>
      <c r="CF177" s="26"/>
      <c r="CG177" s="26"/>
      <c r="CH177" s="26"/>
      <c r="CI177" s="26"/>
      <c r="CJ177" s="26"/>
      <c r="CK177" s="26"/>
      <c r="CL177" s="26"/>
      <c r="CM177" s="26"/>
      <c r="CN177" s="26"/>
      <c r="CO177" s="26"/>
      <c r="CP177" s="26"/>
      <c r="CQ177" s="26"/>
      <c r="CR177" s="26"/>
      <c r="CS177" s="26"/>
      <c r="CT177" s="26"/>
      <c r="CU177" s="26"/>
      <c r="CV177" s="26"/>
      <c r="CW177" s="26"/>
      <c r="CX177" s="26"/>
      <c r="CY177" s="26"/>
      <c r="CZ177" s="26"/>
      <c r="DA177" s="26"/>
      <c r="DB177" s="26"/>
      <c r="DC177" s="26"/>
      <c r="DD177" s="26"/>
    </row>
    <row r="178" spans="59:108" x14ac:dyDescent="0.2">
      <c r="BG178" s="26"/>
      <c r="BH178" s="26"/>
      <c r="BI178" s="26"/>
      <c r="BJ178" s="26"/>
      <c r="BK178" s="26"/>
      <c r="BL178" s="26"/>
      <c r="BM178" s="26"/>
      <c r="BN178" s="26"/>
      <c r="BO178" s="26"/>
      <c r="BP178" s="26"/>
      <c r="BQ178" s="26"/>
      <c r="BR178" s="26"/>
      <c r="BS178" s="26"/>
      <c r="BT178" s="26"/>
      <c r="BU178" s="26"/>
      <c r="BV178" s="26"/>
      <c r="BW178" s="26"/>
      <c r="BX178" s="26"/>
      <c r="BY178" s="26"/>
      <c r="BZ178" s="26"/>
      <c r="CA178" s="26"/>
      <c r="CB178" s="26"/>
      <c r="CC178" s="26"/>
      <c r="CD178" s="26"/>
      <c r="CE178" s="26"/>
      <c r="CF178" s="26"/>
      <c r="CG178" s="26"/>
      <c r="CH178" s="26"/>
      <c r="CI178" s="26"/>
      <c r="CJ178" s="26"/>
      <c r="CK178" s="26"/>
      <c r="CL178" s="26"/>
      <c r="CM178" s="26"/>
      <c r="CN178" s="26"/>
      <c r="CO178" s="26"/>
      <c r="CP178" s="26"/>
      <c r="CQ178" s="26"/>
      <c r="CR178" s="26"/>
      <c r="CS178" s="26"/>
      <c r="CT178" s="26"/>
      <c r="CU178" s="26"/>
      <c r="CV178" s="26"/>
      <c r="CW178" s="26"/>
      <c r="CX178" s="26"/>
      <c r="CY178" s="26"/>
      <c r="CZ178" s="26"/>
      <c r="DA178" s="26"/>
      <c r="DB178" s="26"/>
      <c r="DC178" s="26"/>
      <c r="DD178" s="26"/>
    </row>
    <row r="179" spans="59:108" x14ac:dyDescent="0.2">
      <c r="BG179" s="26"/>
      <c r="BH179" s="26"/>
      <c r="BI179" s="26"/>
      <c r="BJ179" s="26"/>
      <c r="BK179" s="26"/>
      <c r="BL179" s="26"/>
      <c r="BM179" s="26"/>
      <c r="BN179" s="26"/>
      <c r="BO179" s="26"/>
      <c r="BP179" s="26"/>
      <c r="BQ179" s="26"/>
      <c r="BR179" s="26"/>
      <c r="BS179" s="26"/>
      <c r="BT179" s="26"/>
      <c r="BU179" s="26"/>
      <c r="BV179" s="26"/>
      <c r="BW179" s="26"/>
      <c r="BX179" s="26"/>
      <c r="BY179" s="26"/>
      <c r="BZ179" s="26"/>
      <c r="CA179" s="26"/>
      <c r="CB179" s="26"/>
      <c r="CC179" s="26"/>
      <c r="CD179" s="26"/>
      <c r="CE179" s="26"/>
      <c r="CF179" s="26"/>
      <c r="CG179" s="26"/>
      <c r="CH179" s="26"/>
      <c r="CI179" s="26"/>
      <c r="CJ179" s="26"/>
      <c r="CK179" s="26"/>
      <c r="CL179" s="26"/>
      <c r="CM179" s="26"/>
      <c r="CN179" s="26"/>
      <c r="CO179" s="26"/>
      <c r="CP179" s="26"/>
      <c r="CQ179" s="26"/>
      <c r="CR179" s="26"/>
      <c r="CS179" s="26"/>
      <c r="CT179" s="26"/>
      <c r="CU179" s="26"/>
      <c r="CV179" s="26"/>
      <c r="CW179" s="26"/>
      <c r="CX179" s="26"/>
      <c r="CY179" s="26"/>
      <c r="CZ179" s="26"/>
      <c r="DA179" s="26"/>
      <c r="DB179" s="26"/>
      <c r="DC179" s="26"/>
      <c r="DD179" s="26"/>
    </row>
    <row r="180" spans="59:108" x14ac:dyDescent="0.2">
      <c r="BG180" s="26"/>
      <c r="BH180" s="26"/>
      <c r="BI180" s="26"/>
      <c r="BJ180" s="26"/>
      <c r="BK180" s="26"/>
      <c r="BL180" s="26"/>
      <c r="BM180" s="26"/>
      <c r="BN180" s="26"/>
      <c r="BO180" s="26"/>
      <c r="BP180" s="26"/>
      <c r="BQ180" s="26"/>
      <c r="BR180" s="26"/>
      <c r="BS180" s="26"/>
      <c r="BT180" s="26"/>
      <c r="BU180" s="26"/>
      <c r="BV180" s="26"/>
      <c r="BW180" s="26"/>
      <c r="BX180" s="26"/>
      <c r="BY180" s="26"/>
      <c r="BZ180" s="26"/>
      <c r="CA180" s="26"/>
      <c r="CB180" s="26"/>
      <c r="CC180" s="26"/>
      <c r="CD180" s="26"/>
      <c r="CE180" s="26"/>
      <c r="CF180" s="26"/>
      <c r="CG180" s="26"/>
      <c r="CH180" s="26"/>
      <c r="CI180" s="26"/>
      <c r="CJ180" s="26"/>
      <c r="CK180" s="26"/>
      <c r="CL180" s="26"/>
      <c r="CM180" s="26"/>
      <c r="CN180" s="26"/>
      <c r="CO180" s="26"/>
      <c r="CP180" s="26"/>
      <c r="CQ180" s="26"/>
      <c r="CR180" s="26"/>
      <c r="CS180" s="26"/>
      <c r="CT180" s="26"/>
      <c r="CU180" s="26"/>
      <c r="CV180" s="26"/>
      <c r="CW180" s="26"/>
      <c r="CX180" s="26"/>
      <c r="CY180" s="26"/>
      <c r="CZ180" s="26"/>
      <c r="DA180" s="26"/>
      <c r="DB180" s="26"/>
      <c r="DC180" s="26"/>
      <c r="DD180" s="26"/>
    </row>
    <row r="181" spans="59:108" x14ac:dyDescent="0.2">
      <c r="BG181" s="26"/>
      <c r="BH181" s="26"/>
      <c r="BI181" s="26"/>
      <c r="BJ181" s="26"/>
      <c r="BK181" s="26"/>
      <c r="BL181" s="26"/>
      <c r="BM181" s="26"/>
      <c r="BN181" s="26"/>
      <c r="BO181" s="26"/>
      <c r="BP181" s="26"/>
      <c r="BQ181" s="26"/>
      <c r="BR181" s="26"/>
      <c r="BS181" s="26"/>
      <c r="BT181" s="26"/>
      <c r="BU181" s="26"/>
      <c r="BV181" s="26"/>
      <c r="BW181" s="26"/>
      <c r="BX181" s="26"/>
      <c r="BY181" s="26"/>
      <c r="BZ181" s="26"/>
      <c r="CA181" s="26"/>
      <c r="CB181" s="26"/>
      <c r="CC181" s="26"/>
      <c r="CD181" s="26"/>
      <c r="CE181" s="26"/>
      <c r="CF181" s="26"/>
      <c r="CG181" s="26"/>
      <c r="CH181" s="26"/>
      <c r="CI181" s="26"/>
      <c r="CJ181" s="26"/>
      <c r="CK181" s="26"/>
      <c r="CL181" s="26"/>
      <c r="CM181" s="26"/>
      <c r="CN181" s="26"/>
      <c r="CO181" s="26"/>
      <c r="CP181" s="26"/>
      <c r="CQ181" s="26"/>
      <c r="CR181" s="26"/>
      <c r="CS181" s="26"/>
      <c r="CT181" s="26"/>
      <c r="CU181" s="26"/>
      <c r="CV181" s="26"/>
      <c r="CW181" s="26"/>
      <c r="CX181" s="26"/>
      <c r="CY181" s="26"/>
      <c r="CZ181" s="26"/>
      <c r="DA181" s="26"/>
      <c r="DB181" s="26"/>
      <c r="DC181" s="26"/>
      <c r="DD181" s="26"/>
    </row>
    <row r="182" spans="59:108" x14ac:dyDescent="0.2">
      <c r="BG182" s="26"/>
      <c r="BH182" s="26"/>
      <c r="BI182" s="26"/>
      <c r="BJ182" s="26"/>
      <c r="BK182" s="26"/>
      <c r="BL182" s="26"/>
      <c r="BM182" s="26"/>
      <c r="BN182" s="26"/>
      <c r="BO182" s="26"/>
      <c r="BP182" s="26"/>
      <c r="BQ182" s="26"/>
      <c r="BR182" s="26"/>
      <c r="BS182" s="26"/>
      <c r="BT182" s="26"/>
      <c r="BU182" s="26"/>
      <c r="BV182" s="26"/>
      <c r="BW182" s="26"/>
      <c r="BX182" s="26"/>
      <c r="BY182" s="26"/>
      <c r="BZ182" s="26"/>
      <c r="CA182" s="26"/>
      <c r="CB182" s="26"/>
      <c r="CC182" s="26"/>
      <c r="CD182" s="26"/>
      <c r="CE182" s="26"/>
      <c r="CF182" s="26"/>
      <c r="CG182" s="26"/>
      <c r="CH182" s="26"/>
      <c r="CI182" s="26"/>
      <c r="CJ182" s="26"/>
      <c r="CK182" s="26"/>
      <c r="CL182" s="26"/>
      <c r="CM182" s="26"/>
      <c r="CN182" s="26"/>
      <c r="CO182" s="26"/>
      <c r="CP182" s="26"/>
      <c r="CQ182" s="26"/>
      <c r="CR182" s="26"/>
      <c r="CS182" s="26"/>
      <c r="CT182" s="26"/>
      <c r="CU182" s="26"/>
      <c r="CV182" s="26"/>
      <c r="CW182" s="26"/>
      <c r="CX182" s="26"/>
      <c r="CY182" s="26"/>
      <c r="CZ182" s="26"/>
      <c r="DA182" s="26"/>
      <c r="DB182" s="26"/>
      <c r="DC182" s="26"/>
      <c r="DD182" s="26"/>
    </row>
    <row r="183" spans="59:108" x14ac:dyDescent="0.2">
      <c r="BG183" s="26"/>
      <c r="BH183" s="26"/>
      <c r="BI183" s="26"/>
      <c r="BJ183" s="26"/>
      <c r="BK183" s="26"/>
      <c r="BL183" s="26"/>
      <c r="BM183" s="26"/>
      <c r="BN183" s="26"/>
      <c r="BO183" s="26"/>
      <c r="BP183" s="26"/>
      <c r="BQ183" s="26"/>
      <c r="BR183" s="26"/>
      <c r="BS183" s="26"/>
      <c r="BT183" s="26"/>
      <c r="BU183" s="26"/>
      <c r="BV183" s="26"/>
      <c r="BW183" s="26"/>
      <c r="BX183" s="26"/>
      <c r="BY183" s="26"/>
      <c r="BZ183" s="26"/>
      <c r="CA183" s="26"/>
      <c r="CB183" s="26"/>
      <c r="CC183" s="26"/>
      <c r="CD183" s="26"/>
      <c r="CE183" s="26"/>
      <c r="CF183" s="26"/>
      <c r="CG183" s="26"/>
      <c r="CH183" s="26"/>
      <c r="CI183" s="26"/>
      <c r="CJ183" s="26"/>
      <c r="CK183" s="26"/>
      <c r="CL183" s="26"/>
      <c r="CM183" s="26"/>
      <c r="CN183" s="26"/>
      <c r="CO183" s="26"/>
      <c r="CP183" s="26"/>
      <c r="CQ183" s="26"/>
      <c r="CR183" s="26"/>
      <c r="CS183" s="26"/>
      <c r="CT183" s="26"/>
      <c r="CU183" s="26"/>
      <c r="CV183" s="26"/>
      <c r="CW183" s="26"/>
      <c r="CX183" s="26"/>
      <c r="CY183" s="26"/>
      <c r="CZ183" s="26"/>
      <c r="DA183" s="26"/>
      <c r="DB183" s="26"/>
      <c r="DC183" s="26"/>
      <c r="DD183" s="26"/>
    </row>
    <row r="184" spans="59:108" x14ac:dyDescent="0.2">
      <c r="BG184" s="26"/>
      <c r="BH184" s="26"/>
      <c r="BI184" s="26"/>
      <c r="BJ184" s="26"/>
      <c r="BK184" s="26"/>
      <c r="BL184" s="26"/>
      <c r="BM184" s="26"/>
      <c r="BN184" s="26"/>
      <c r="BO184" s="26"/>
      <c r="BP184" s="26"/>
      <c r="BQ184" s="26"/>
      <c r="BR184" s="26"/>
      <c r="BS184" s="26"/>
      <c r="BT184" s="26"/>
      <c r="BU184" s="26"/>
      <c r="BV184" s="26"/>
      <c r="BW184" s="26"/>
      <c r="BX184" s="26"/>
      <c r="BY184" s="26"/>
      <c r="BZ184" s="26"/>
      <c r="CA184" s="26"/>
      <c r="CB184" s="26"/>
      <c r="CC184" s="26"/>
      <c r="CD184" s="26"/>
      <c r="CE184" s="26"/>
      <c r="CF184" s="26"/>
      <c r="CG184" s="26"/>
      <c r="CH184" s="26"/>
      <c r="CI184" s="26"/>
      <c r="CJ184" s="26"/>
      <c r="CK184" s="26"/>
      <c r="CL184" s="26"/>
      <c r="CM184" s="26"/>
      <c r="CN184" s="26"/>
      <c r="CO184" s="26"/>
      <c r="CP184" s="26"/>
      <c r="CQ184" s="26"/>
      <c r="CR184" s="26"/>
      <c r="CS184" s="26"/>
      <c r="CT184" s="26"/>
      <c r="CU184" s="26"/>
      <c r="CV184" s="26"/>
      <c r="CW184" s="26"/>
      <c r="CX184" s="26"/>
      <c r="CY184" s="26"/>
      <c r="CZ184" s="26"/>
      <c r="DA184" s="26"/>
      <c r="DB184" s="26"/>
      <c r="DC184" s="26"/>
      <c r="DD184" s="26"/>
    </row>
    <row r="185" spans="59:108" x14ac:dyDescent="0.2">
      <c r="BG185" s="26"/>
      <c r="BH185" s="26"/>
      <c r="BI185" s="26"/>
      <c r="BJ185" s="26"/>
      <c r="BK185" s="26"/>
      <c r="BL185" s="26"/>
      <c r="BM185" s="26"/>
      <c r="BN185" s="26"/>
      <c r="BO185" s="26"/>
      <c r="BP185" s="26"/>
      <c r="BQ185" s="26"/>
      <c r="BR185" s="26"/>
      <c r="BS185" s="26"/>
      <c r="BT185" s="26"/>
      <c r="BU185" s="26"/>
      <c r="BV185" s="26"/>
      <c r="BW185" s="26"/>
      <c r="BX185" s="26"/>
      <c r="BY185" s="26"/>
      <c r="BZ185" s="26"/>
      <c r="CA185" s="26"/>
      <c r="CB185" s="26"/>
      <c r="CC185" s="26"/>
      <c r="CD185" s="26"/>
      <c r="CE185" s="26"/>
      <c r="CF185" s="26"/>
      <c r="CG185" s="26"/>
      <c r="CH185" s="26"/>
      <c r="CI185" s="26"/>
      <c r="CJ185" s="26"/>
      <c r="CK185" s="26"/>
      <c r="CL185" s="26"/>
      <c r="CM185" s="26"/>
      <c r="CN185" s="26"/>
      <c r="CO185" s="26"/>
      <c r="CP185" s="26"/>
      <c r="CQ185" s="26"/>
      <c r="CR185" s="26"/>
      <c r="CS185" s="26"/>
      <c r="CT185" s="26"/>
      <c r="CU185" s="26"/>
      <c r="CV185" s="26"/>
      <c r="CW185" s="26"/>
      <c r="CX185" s="26"/>
      <c r="CY185" s="26"/>
      <c r="CZ185" s="26"/>
      <c r="DA185" s="26"/>
      <c r="DB185" s="26"/>
      <c r="DC185" s="26"/>
      <c r="DD185" s="26"/>
    </row>
    <row r="186" spans="59:108" x14ac:dyDescent="0.2">
      <c r="BG186" s="26"/>
      <c r="BH186" s="26"/>
      <c r="BI186" s="26"/>
      <c r="BJ186" s="26"/>
      <c r="BK186" s="26"/>
      <c r="BL186" s="26"/>
      <c r="BM186" s="26"/>
      <c r="BN186" s="26"/>
      <c r="BO186" s="26"/>
      <c r="BP186" s="26"/>
      <c r="BQ186" s="26"/>
      <c r="BR186" s="26"/>
      <c r="BS186" s="26"/>
      <c r="BT186" s="26"/>
      <c r="BU186" s="26"/>
      <c r="BV186" s="26"/>
      <c r="BW186" s="26"/>
      <c r="BX186" s="26"/>
      <c r="BY186" s="26"/>
      <c r="BZ186" s="26"/>
      <c r="CA186" s="26"/>
      <c r="CB186" s="26"/>
      <c r="CC186" s="26"/>
      <c r="CD186" s="26"/>
      <c r="CE186" s="26"/>
      <c r="CF186" s="26"/>
      <c r="CG186" s="26"/>
      <c r="CH186" s="26"/>
      <c r="CI186" s="26"/>
      <c r="CJ186" s="26"/>
      <c r="CK186" s="26"/>
      <c r="CL186" s="26"/>
      <c r="CM186" s="26"/>
      <c r="CN186" s="26"/>
      <c r="CO186" s="26"/>
      <c r="CP186" s="26"/>
      <c r="CQ186" s="26"/>
      <c r="CR186" s="26"/>
      <c r="CS186" s="26"/>
      <c r="CT186" s="26"/>
      <c r="CU186" s="26"/>
      <c r="CV186" s="26"/>
      <c r="CW186" s="26"/>
      <c r="CX186" s="26"/>
      <c r="CY186" s="26"/>
      <c r="CZ186" s="26"/>
      <c r="DA186" s="26"/>
      <c r="DB186" s="26"/>
      <c r="DC186" s="26"/>
      <c r="DD186" s="26"/>
    </row>
    <row r="187" spans="59:108" x14ac:dyDescent="0.2">
      <c r="BG187" s="26"/>
      <c r="BH187" s="26"/>
      <c r="BI187" s="26"/>
      <c r="BJ187" s="26"/>
      <c r="BK187" s="26"/>
      <c r="BL187" s="26"/>
      <c r="BM187" s="26"/>
      <c r="BN187" s="26"/>
      <c r="BO187" s="26"/>
      <c r="BP187" s="26"/>
      <c r="BQ187" s="26"/>
      <c r="BR187" s="26"/>
      <c r="BS187" s="26"/>
      <c r="BT187" s="26"/>
      <c r="BU187" s="26"/>
      <c r="BV187" s="26"/>
      <c r="BW187" s="26"/>
      <c r="BX187" s="26"/>
      <c r="BY187" s="26"/>
      <c r="BZ187" s="26"/>
      <c r="CA187" s="26"/>
      <c r="CB187" s="26"/>
      <c r="CC187" s="26"/>
      <c r="CD187" s="26"/>
      <c r="CE187" s="26"/>
      <c r="CF187" s="26"/>
      <c r="CG187" s="26"/>
      <c r="CH187" s="26"/>
      <c r="CI187" s="26"/>
      <c r="CJ187" s="26"/>
      <c r="CK187" s="26"/>
      <c r="CL187" s="26"/>
      <c r="CM187" s="26"/>
      <c r="CN187" s="26"/>
      <c r="CO187" s="26"/>
      <c r="CP187" s="26"/>
      <c r="CQ187" s="26"/>
      <c r="CR187" s="26"/>
      <c r="CS187" s="26"/>
      <c r="CT187" s="26"/>
      <c r="CU187" s="26"/>
      <c r="CV187" s="26"/>
      <c r="CW187" s="26"/>
      <c r="CX187" s="26"/>
      <c r="CY187" s="26"/>
      <c r="CZ187" s="26"/>
      <c r="DA187" s="26"/>
      <c r="DB187" s="26"/>
      <c r="DC187" s="26"/>
      <c r="DD187" s="26"/>
    </row>
    <row r="188" spans="59:108" x14ac:dyDescent="0.2">
      <c r="BG188" s="26"/>
      <c r="BH188" s="26"/>
      <c r="BI188" s="26"/>
      <c r="BJ188" s="26"/>
      <c r="BK188" s="26"/>
      <c r="BL188" s="26"/>
      <c r="BM188" s="26"/>
      <c r="BN188" s="26"/>
      <c r="BO188" s="26"/>
      <c r="BP188" s="26"/>
      <c r="BQ188" s="26"/>
      <c r="BR188" s="26"/>
      <c r="BS188" s="26"/>
      <c r="BT188" s="26"/>
      <c r="BU188" s="26"/>
      <c r="BV188" s="26"/>
      <c r="BW188" s="26"/>
      <c r="BX188" s="26"/>
      <c r="BY188" s="26"/>
      <c r="BZ188" s="26"/>
      <c r="CA188" s="26"/>
      <c r="CB188" s="26"/>
      <c r="CC188" s="26"/>
      <c r="CD188" s="26"/>
      <c r="CE188" s="26"/>
      <c r="CF188" s="26"/>
      <c r="CG188" s="26"/>
      <c r="CH188" s="26"/>
      <c r="CI188" s="26"/>
      <c r="CJ188" s="26"/>
      <c r="CK188" s="26"/>
      <c r="CL188" s="26"/>
      <c r="CM188" s="26"/>
      <c r="CN188" s="26"/>
      <c r="CO188" s="26"/>
      <c r="CP188" s="26"/>
      <c r="CQ188" s="26"/>
      <c r="CR188" s="26"/>
      <c r="CS188" s="26"/>
      <c r="CT188" s="26"/>
      <c r="CU188" s="26"/>
      <c r="CV188" s="26"/>
      <c r="CW188" s="26"/>
      <c r="CX188" s="26"/>
      <c r="CY188" s="26"/>
      <c r="CZ188" s="26"/>
      <c r="DA188" s="26"/>
      <c r="DB188" s="26"/>
      <c r="DC188" s="26"/>
      <c r="DD188" s="26"/>
    </row>
    <row r="189" spans="59:108" x14ac:dyDescent="0.2">
      <c r="BG189" s="26"/>
      <c r="BH189" s="26"/>
      <c r="BI189" s="26"/>
      <c r="BJ189" s="26"/>
      <c r="BK189" s="26"/>
      <c r="BL189" s="26"/>
      <c r="BM189" s="26"/>
      <c r="BN189" s="26"/>
      <c r="BO189" s="26"/>
      <c r="BP189" s="26"/>
      <c r="BQ189" s="26"/>
      <c r="BR189" s="26"/>
      <c r="BS189" s="26"/>
      <c r="BT189" s="26"/>
      <c r="BU189" s="26"/>
      <c r="BV189" s="26"/>
      <c r="BW189" s="26"/>
      <c r="BX189" s="26"/>
      <c r="BY189" s="26"/>
      <c r="BZ189" s="26"/>
      <c r="CA189" s="26"/>
      <c r="CB189" s="26"/>
      <c r="CC189" s="26"/>
      <c r="CD189" s="26"/>
      <c r="CE189" s="26"/>
      <c r="CF189" s="26"/>
      <c r="CG189" s="26"/>
      <c r="CH189" s="26"/>
      <c r="CI189" s="26"/>
      <c r="CJ189" s="26"/>
      <c r="CK189" s="26"/>
      <c r="CL189" s="26"/>
      <c r="CM189" s="26"/>
      <c r="CN189" s="26"/>
      <c r="CO189" s="26"/>
      <c r="CP189" s="26"/>
      <c r="CQ189" s="26"/>
      <c r="CR189" s="26"/>
      <c r="CS189" s="26"/>
      <c r="CT189" s="26"/>
      <c r="CU189" s="26"/>
      <c r="CV189" s="26"/>
      <c r="CW189" s="26"/>
      <c r="CX189" s="26"/>
      <c r="CY189" s="26"/>
      <c r="CZ189" s="26"/>
      <c r="DA189" s="26"/>
      <c r="DB189" s="26"/>
      <c r="DC189" s="26"/>
      <c r="DD189" s="26"/>
    </row>
    <row r="190" spans="59:108" x14ac:dyDescent="0.2">
      <c r="BG190" s="26"/>
      <c r="BH190" s="26"/>
      <c r="BI190" s="26"/>
      <c r="BJ190" s="26"/>
      <c r="BK190" s="26"/>
      <c r="BL190" s="26"/>
      <c r="BM190" s="26"/>
      <c r="BN190" s="26"/>
      <c r="BO190" s="26"/>
      <c r="BP190" s="26"/>
      <c r="BQ190" s="26"/>
      <c r="BR190" s="26"/>
      <c r="BS190" s="26"/>
      <c r="BT190" s="26"/>
      <c r="BU190" s="26"/>
      <c r="BV190" s="26"/>
      <c r="BW190" s="26"/>
      <c r="BX190" s="26"/>
      <c r="BY190" s="26"/>
      <c r="BZ190" s="26"/>
      <c r="CA190" s="26"/>
      <c r="CB190" s="26"/>
      <c r="CC190" s="26"/>
      <c r="CD190" s="26"/>
      <c r="CE190" s="26"/>
      <c r="CF190" s="26"/>
      <c r="CG190" s="26"/>
      <c r="CH190" s="26"/>
      <c r="CI190" s="26"/>
      <c r="CJ190" s="26"/>
      <c r="CK190" s="26"/>
      <c r="CL190" s="26"/>
      <c r="CM190" s="26"/>
      <c r="CN190" s="26"/>
      <c r="CO190" s="26"/>
      <c r="CP190" s="26"/>
      <c r="CQ190" s="26"/>
      <c r="CR190" s="26"/>
      <c r="CS190" s="26"/>
      <c r="CT190" s="26"/>
      <c r="CU190" s="26"/>
      <c r="CV190" s="26"/>
      <c r="CW190" s="26"/>
      <c r="CX190" s="26"/>
      <c r="CY190" s="26"/>
      <c r="CZ190" s="26"/>
      <c r="DA190" s="26"/>
      <c r="DB190" s="26"/>
      <c r="DC190" s="26"/>
      <c r="DD190" s="26"/>
    </row>
    <row r="191" spans="59:108" x14ac:dyDescent="0.2">
      <c r="BG191" s="26"/>
      <c r="BH191" s="26"/>
      <c r="BI191" s="26"/>
      <c r="BJ191" s="26"/>
      <c r="BK191" s="26"/>
      <c r="BL191" s="26"/>
      <c r="BM191" s="26"/>
      <c r="BN191" s="26"/>
      <c r="BO191" s="26"/>
      <c r="BP191" s="26"/>
      <c r="BQ191" s="26"/>
      <c r="BR191" s="26"/>
      <c r="BS191" s="26"/>
      <c r="BT191" s="26"/>
      <c r="BU191" s="26"/>
      <c r="BV191" s="26"/>
      <c r="BW191" s="26"/>
      <c r="BX191" s="26"/>
      <c r="BY191" s="26"/>
      <c r="BZ191" s="26"/>
      <c r="CA191" s="26"/>
      <c r="CB191" s="26"/>
      <c r="CC191" s="26"/>
      <c r="CD191" s="26"/>
      <c r="CE191" s="26"/>
      <c r="CF191" s="26"/>
      <c r="CG191" s="26"/>
      <c r="CH191" s="26"/>
      <c r="CI191" s="26"/>
      <c r="CJ191" s="26"/>
      <c r="CK191" s="26"/>
      <c r="CL191" s="26"/>
      <c r="CM191" s="26"/>
      <c r="CN191" s="26"/>
      <c r="CO191" s="26"/>
      <c r="CP191" s="26"/>
      <c r="CQ191" s="26"/>
      <c r="CR191" s="26"/>
      <c r="CS191" s="26"/>
      <c r="CT191" s="26"/>
      <c r="CU191" s="26"/>
      <c r="CV191" s="26"/>
      <c r="CW191" s="26"/>
      <c r="CX191" s="26"/>
      <c r="CY191" s="26"/>
      <c r="CZ191" s="26"/>
      <c r="DA191" s="26"/>
      <c r="DB191" s="26"/>
      <c r="DC191" s="26"/>
      <c r="DD191" s="26"/>
    </row>
    <row r="192" spans="59:108" x14ac:dyDescent="0.2">
      <c r="BG192" s="26"/>
      <c r="BH192" s="26"/>
      <c r="BI192" s="26"/>
      <c r="BJ192" s="26"/>
      <c r="BK192" s="26"/>
      <c r="BL192" s="26"/>
      <c r="BM192" s="26"/>
      <c r="BN192" s="26"/>
      <c r="BO192" s="26"/>
      <c r="BP192" s="26"/>
      <c r="BQ192" s="26"/>
      <c r="BR192" s="26"/>
      <c r="BS192" s="26"/>
      <c r="BT192" s="26"/>
      <c r="BU192" s="26"/>
      <c r="BV192" s="26"/>
      <c r="BW192" s="26"/>
      <c r="BX192" s="26"/>
      <c r="BY192" s="26"/>
      <c r="BZ192" s="26"/>
      <c r="CA192" s="26"/>
      <c r="CB192" s="26"/>
      <c r="CC192" s="26"/>
      <c r="CD192" s="26"/>
      <c r="CE192" s="26"/>
      <c r="CF192" s="26"/>
      <c r="CG192" s="26"/>
      <c r="CH192" s="26"/>
      <c r="CI192" s="26"/>
      <c r="CJ192" s="26"/>
      <c r="CK192" s="26"/>
      <c r="CL192" s="26"/>
      <c r="CM192" s="26"/>
      <c r="CN192" s="26"/>
      <c r="CO192" s="26"/>
      <c r="CP192" s="26"/>
      <c r="CQ192" s="26"/>
      <c r="CR192" s="26"/>
      <c r="CS192" s="26"/>
      <c r="CT192" s="26"/>
      <c r="CU192" s="26"/>
      <c r="CV192" s="26"/>
      <c r="CW192" s="26"/>
      <c r="CX192" s="26"/>
      <c r="CY192" s="26"/>
      <c r="CZ192" s="26"/>
      <c r="DA192" s="26"/>
      <c r="DB192" s="26"/>
      <c r="DC192" s="26"/>
      <c r="DD192" s="26"/>
    </row>
    <row r="193" spans="59:108" x14ac:dyDescent="0.2">
      <c r="BG193" s="26"/>
      <c r="BH193" s="26"/>
      <c r="BI193" s="26"/>
      <c r="BJ193" s="26"/>
      <c r="BK193" s="26"/>
      <c r="BL193" s="26"/>
      <c r="BM193" s="26"/>
      <c r="BN193" s="26"/>
      <c r="BO193" s="26"/>
      <c r="BP193" s="26"/>
      <c r="BQ193" s="26"/>
      <c r="BR193" s="26"/>
      <c r="BS193" s="26"/>
      <c r="BT193" s="26"/>
      <c r="BU193" s="26"/>
      <c r="BV193" s="26"/>
      <c r="BW193" s="26"/>
      <c r="BX193" s="26"/>
      <c r="BY193" s="26"/>
      <c r="BZ193" s="26"/>
      <c r="CA193" s="26"/>
      <c r="CB193" s="26"/>
      <c r="CC193" s="26"/>
      <c r="CD193" s="26"/>
      <c r="CE193" s="26"/>
      <c r="CF193" s="26"/>
      <c r="CG193" s="26"/>
      <c r="CH193" s="26"/>
      <c r="CI193" s="26"/>
      <c r="CJ193" s="26"/>
      <c r="CK193" s="26"/>
      <c r="CL193" s="26"/>
      <c r="CM193" s="26"/>
      <c r="CN193" s="26"/>
      <c r="CO193" s="26"/>
      <c r="CP193" s="26"/>
      <c r="CQ193" s="26"/>
      <c r="CR193" s="26"/>
      <c r="CS193" s="26"/>
      <c r="CT193" s="26"/>
      <c r="CU193" s="26"/>
      <c r="CV193" s="26"/>
      <c r="CW193" s="26"/>
      <c r="CX193" s="26"/>
      <c r="CY193" s="26"/>
      <c r="CZ193" s="26"/>
      <c r="DA193" s="26"/>
      <c r="DB193" s="26"/>
      <c r="DC193" s="26"/>
      <c r="DD193" s="26"/>
    </row>
    <row r="194" spans="59:108" x14ac:dyDescent="0.2">
      <c r="BG194" s="26"/>
      <c r="BH194" s="26"/>
      <c r="BI194" s="26"/>
      <c r="BJ194" s="26"/>
      <c r="BK194" s="26"/>
      <c r="BL194" s="26"/>
      <c r="BM194" s="26"/>
      <c r="BN194" s="26"/>
      <c r="BO194" s="26"/>
      <c r="BP194" s="26"/>
      <c r="BQ194" s="26"/>
      <c r="BR194" s="26"/>
      <c r="BS194" s="26"/>
      <c r="BT194" s="26"/>
      <c r="BU194" s="26"/>
      <c r="BV194" s="26"/>
      <c r="BW194" s="26"/>
      <c r="BX194" s="26"/>
      <c r="BY194" s="26"/>
      <c r="BZ194" s="26"/>
      <c r="CA194" s="26"/>
      <c r="CB194" s="26"/>
      <c r="CC194" s="26"/>
      <c r="CD194" s="26"/>
      <c r="CE194" s="26"/>
      <c r="CF194" s="26"/>
      <c r="CG194" s="26"/>
      <c r="CH194" s="26"/>
      <c r="CI194" s="26"/>
      <c r="CJ194" s="26"/>
      <c r="CK194" s="26"/>
      <c r="CL194" s="26"/>
      <c r="CM194" s="26"/>
      <c r="CN194" s="26"/>
      <c r="CO194" s="26"/>
      <c r="CP194" s="26"/>
      <c r="CQ194" s="26"/>
      <c r="CR194" s="26"/>
      <c r="CS194" s="26"/>
      <c r="CT194" s="26"/>
      <c r="CU194" s="26"/>
      <c r="CV194" s="26"/>
      <c r="CW194" s="26"/>
      <c r="CX194" s="26"/>
      <c r="CY194" s="26"/>
      <c r="CZ194" s="26"/>
      <c r="DA194" s="26"/>
      <c r="DB194" s="26"/>
      <c r="DC194" s="26"/>
      <c r="DD194" s="26"/>
    </row>
    <row r="195" spans="59:108" x14ac:dyDescent="0.2">
      <c r="BG195" s="26"/>
      <c r="BH195" s="26"/>
      <c r="BI195" s="26"/>
      <c r="BJ195" s="26"/>
      <c r="BK195" s="26"/>
      <c r="BL195" s="26"/>
      <c r="BM195" s="26"/>
      <c r="BN195" s="26"/>
      <c r="BO195" s="26"/>
      <c r="BP195" s="26"/>
      <c r="BQ195" s="26"/>
      <c r="BR195" s="26"/>
      <c r="BS195" s="26"/>
      <c r="BT195" s="26"/>
      <c r="BU195" s="26"/>
      <c r="BV195" s="26"/>
      <c r="BW195" s="26"/>
      <c r="BX195" s="26"/>
      <c r="BY195" s="26"/>
      <c r="BZ195" s="26"/>
      <c r="CA195" s="26"/>
      <c r="CB195" s="26"/>
      <c r="CC195" s="26"/>
      <c r="CD195" s="26"/>
      <c r="CE195" s="26"/>
      <c r="CF195" s="26"/>
      <c r="CG195" s="26"/>
      <c r="CH195" s="26"/>
      <c r="CI195" s="26"/>
      <c r="CJ195" s="26"/>
      <c r="CK195" s="26"/>
      <c r="CL195" s="26"/>
      <c r="CM195" s="26"/>
      <c r="CN195" s="26"/>
      <c r="CO195" s="26"/>
      <c r="CP195" s="26"/>
      <c r="CQ195" s="26"/>
      <c r="CR195" s="26"/>
      <c r="CS195" s="26"/>
      <c r="CT195" s="26"/>
      <c r="CU195" s="26"/>
      <c r="CV195" s="26"/>
      <c r="CW195" s="26"/>
      <c r="CX195" s="26"/>
      <c r="CY195" s="26"/>
      <c r="CZ195" s="26"/>
      <c r="DA195" s="26"/>
      <c r="DB195" s="26"/>
      <c r="DC195" s="26"/>
      <c r="DD195" s="26"/>
    </row>
    <row r="196" spans="59:108" x14ac:dyDescent="0.2">
      <c r="BG196" s="26"/>
      <c r="BH196" s="26"/>
      <c r="BI196" s="26"/>
      <c r="BJ196" s="26"/>
      <c r="BK196" s="26"/>
      <c r="BL196" s="26"/>
      <c r="BM196" s="26"/>
      <c r="BN196" s="26"/>
      <c r="BO196" s="26"/>
      <c r="BP196" s="26"/>
      <c r="BQ196" s="26"/>
      <c r="BR196" s="26"/>
      <c r="BS196" s="26"/>
      <c r="BT196" s="26"/>
      <c r="BU196" s="26"/>
      <c r="BV196" s="26"/>
      <c r="BW196" s="26"/>
      <c r="BX196" s="26"/>
      <c r="BY196" s="26"/>
      <c r="BZ196" s="26"/>
      <c r="CA196" s="26"/>
      <c r="CB196" s="26"/>
      <c r="CC196" s="26"/>
      <c r="CD196" s="26"/>
      <c r="CE196" s="26"/>
      <c r="CF196" s="26"/>
      <c r="CG196" s="26"/>
      <c r="CH196" s="26"/>
      <c r="CI196" s="26"/>
      <c r="CJ196" s="26"/>
      <c r="CK196" s="26"/>
      <c r="CL196" s="26"/>
      <c r="CM196" s="26"/>
      <c r="CN196" s="26"/>
      <c r="CO196" s="26"/>
      <c r="CP196" s="26"/>
      <c r="CQ196" s="26"/>
      <c r="CR196" s="26"/>
      <c r="CS196" s="26"/>
      <c r="CT196" s="26"/>
      <c r="CU196" s="26"/>
      <c r="CV196" s="26"/>
      <c r="CW196" s="26"/>
      <c r="CX196" s="26"/>
      <c r="CY196" s="26"/>
      <c r="CZ196" s="26"/>
      <c r="DA196" s="26"/>
      <c r="DB196" s="26"/>
      <c r="DC196" s="26"/>
      <c r="DD196" s="26"/>
    </row>
    <row r="197" spans="59:108" x14ac:dyDescent="0.2">
      <c r="BG197" s="26"/>
      <c r="BH197" s="26"/>
      <c r="BI197" s="26"/>
      <c r="BJ197" s="26"/>
      <c r="BK197" s="26"/>
      <c r="BL197" s="26"/>
      <c r="BM197" s="26"/>
      <c r="BN197" s="26"/>
      <c r="BO197" s="26"/>
      <c r="BP197" s="26"/>
      <c r="BQ197" s="26"/>
      <c r="BR197" s="26"/>
      <c r="BS197" s="26"/>
      <c r="BT197" s="26"/>
      <c r="BU197" s="26"/>
      <c r="BV197" s="26"/>
      <c r="BW197" s="26"/>
      <c r="BX197" s="26"/>
      <c r="BY197" s="26"/>
      <c r="BZ197" s="26"/>
      <c r="CA197" s="26"/>
      <c r="CB197" s="26"/>
      <c r="CC197" s="26"/>
      <c r="CD197" s="26"/>
      <c r="CE197" s="26"/>
      <c r="CF197" s="26"/>
      <c r="CG197" s="26"/>
      <c r="CH197" s="26"/>
      <c r="CI197" s="26"/>
      <c r="CJ197" s="26"/>
      <c r="CK197" s="26"/>
      <c r="CL197" s="26"/>
      <c r="CM197" s="26"/>
      <c r="CN197" s="26"/>
      <c r="CO197" s="26"/>
      <c r="CP197" s="26"/>
      <c r="CQ197" s="26"/>
      <c r="CR197" s="26"/>
      <c r="CS197" s="26"/>
      <c r="CT197" s="26"/>
      <c r="CU197" s="26"/>
      <c r="CV197" s="26"/>
      <c r="CW197" s="26"/>
      <c r="CX197" s="26"/>
      <c r="CY197" s="26"/>
      <c r="CZ197" s="26"/>
      <c r="DA197" s="26"/>
      <c r="DB197" s="26"/>
      <c r="DC197" s="26"/>
      <c r="DD197" s="26"/>
    </row>
    <row r="198" spans="59:108" x14ac:dyDescent="0.2">
      <c r="BG198" s="26"/>
      <c r="BH198" s="26"/>
      <c r="BI198" s="26"/>
      <c r="BJ198" s="26"/>
      <c r="BK198" s="26"/>
      <c r="BL198" s="26"/>
      <c r="BM198" s="26"/>
      <c r="BN198" s="26"/>
      <c r="BO198" s="26"/>
      <c r="BP198" s="26"/>
      <c r="BQ198" s="26"/>
      <c r="BR198" s="26"/>
      <c r="BS198" s="26"/>
      <c r="BT198" s="26"/>
      <c r="BU198" s="26"/>
      <c r="BV198" s="26"/>
      <c r="BW198" s="26"/>
      <c r="BX198" s="26"/>
      <c r="BY198" s="26"/>
      <c r="BZ198" s="26"/>
      <c r="CA198" s="26"/>
      <c r="CB198" s="26"/>
      <c r="CC198" s="26"/>
      <c r="CD198" s="26"/>
      <c r="CE198" s="26"/>
      <c r="CF198" s="26"/>
      <c r="CG198" s="26"/>
      <c r="CH198" s="26"/>
      <c r="CI198" s="26"/>
      <c r="CJ198" s="26"/>
      <c r="CK198" s="26"/>
      <c r="CL198" s="26"/>
      <c r="CM198" s="26"/>
      <c r="CN198" s="26"/>
      <c r="CO198" s="26"/>
      <c r="CP198" s="26"/>
      <c r="CQ198" s="26"/>
      <c r="CR198" s="26"/>
      <c r="CS198" s="26"/>
      <c r="CT198" s="26"/>
      <c r="CU198" s="26"/>
      <c r="CV198" s="26"/>
      <c r="CW198" s="26"/>
      <c r="CX198" s="26"/>
      <c r="CY198" s="26"/>
      <c r="CZ198" s="26"/>
      <c r="DA198" s="26"/>
      <c r="DB198" s="26"/>
      <c r="DC198" s="26"/>
      <c r="DD198" s="26"/>
    </row>
    <row r="199" spans="59:108" x14ac:dyDescent="0.2">
      <c r="BG199" s="26"/>
      <c r="BH199" s="26"/>
      <c r="BI199" s="26"/>
      <c r="BJ199" s="26"/>
      <c r="BK199" s="26"/>
      <c r="BL199" s="26"/>
      <c r="BM199" s="26"/>
      <c r="BN199" s="26"/>
      <c r="BO199" s="26"/>
      <c r="BP199" s="26"/>
      <c r="BQ199" s="26"/>
      <c r="BR199" s="26"/>
      <c r="BS199" s="26"/>
      <c r="BT199" s="26"/>
      <c r="BU199" s="26"/>
      <c r="BV199" s="26"/>
      <c r="BW199" s="26"/>
      <c r="BX199" s="26"/>
      <c r="BY199" s="26"/>
      <c r="BZ199" s="26"/>
      <c r="CA199" s="26"/>
      <c r="CB199" s="26"/>
      <c r="CC199" s="26"/>
      <c r="CD199" s="26"/>
      <c r="CE199" s="26"/>
      <c r="CF199" s="26"/>
      <c r="CG199" s="26"/>
      <c r="CH199" s="26"/>
      <c r="CI199" s="26"/>
      <c r="CJ199" s="26"/>
      <c r="CK199" s="26"/>
      <c r="CL199" s="26"/>
      <c r="CM199" s="26"/>
      <c r="CN199" s="26"/>
      <c r="CO199" s="26"/>
      <c r="CP199" s="26"/>
      <c r="CQ199" s="26"/>
      <c r="CR199" s="26"/>
      <c r="CS199" s="26"/>
      <c r="CT199" s="26"/>
      <c r="CU199" s="26"/>
      <c r="CV199" s="26"/>
      <c r="CW199" s="26"/>
      <c r="CX199" s="26"/>
      <c r="CY199" s="26"/>
      <c r="CZ199" s="26"/>
      <c r="DA199" s="26"/>
      <c r="DB199" s="26"/>
      <c r="DC199" s="26"/>
      <c r="DD199" s="26"/>
    </row>
    <row r="200" spans="59:108" x14ac:dyDescent="0.2">
      <c r="BG200" s="26"/>
      <c r="BH200" s="26"/>
      <c r="BI200" s="26"/>
      <c r="BJ200" s="26"/>
      <c r="BK200" s="26"/>
      <c r="BL200" s="26"/>
      <c r="BM200" s="26"/>
      <c r="BN200" s="26"/>
      <c r="BO200" s="26"/>
      <c r="BP200" s="26"/>
      <c r="BQ200" s="26"/>
      <c r="BR200" s="26"/>
      <c r="BS200" s="26"/>
      <c r="BT200" s="26"/>
      <c r="BU200" s="26"/>
      <c r="BV200" s="26"/>
      <c r="BW200" s="26"/>
      <c r="BX200" s="26"/>
      <c r="BY200" s="26"/>
      <c r="BZ200" s="26"/>
      <c r="CA200" s="26"/>
      <c r="CB200" s="26"/>
      <c r="CC200" s="26"/>
      <c r="CD200" s="26"/>
      <c r="CE200" s="26"/>
      <c r="CF200" s="26"/>
      <c r="CG200" s="26"/>
      <c r="CH200" s="26"/>
      <c r="CI200" s="26"/>
      <c r="CJ200" s="26"/>
      <c r="CK200" s="26"/>
      <c r="CL200" s="26"/>
      <c r="CM200" s="26"/>
      <c r="CN200" s="26"/>
      <c r="CO200" s="26"/>
      <c r="CP200" s="26"/>
      <c r="CQ200" s="26"/>
      <c r="CR200" s="26"/>
      <c r="CS200" s="26"/>
      <c r="CT200" s="26"/>
      <c r="CU200" s="26"/>
      <c r="CV200" s="26"/>
      <c r="CW200" s="26"/>
      <c r="CX200" s="26"/>
      <c r="CY200" s="26"/>
      <c r="CZ200" s="26"/>
      <c r="DA200" s="26"/>
      <c r="DB200" s="26"/>
      <c r="DC200" s="26"/>
      <c r="DD200" s="26"/>
    </row>
    <row r="201" spans="59:108" x14ac:dyDescent="0.2">
      <c r="BG201" s="26"/>
      <c r="BH201" s="26"/>
      <c r="BI201" s="26"/>
      <c r="BJ201" s="26"/>
      <c r="BK201" s="26"/>
      <c r="BL201" s="26"/>
      <c r="BM201" s="26"/>
      <c r="BN201" s="26"/>
      <c r="BO201" s="26"/>
      <c r="BP201" s="26"/>
      <c r="BQ201" s="26"/>
      <c r="BR201" s="26"/>
      <c r="BS201" s="26"/>
      <c r="BT201" s="26"/>
      <c r="BU201" s="26"/>
      <c r="BV201" s="26"/>
      <c r="BW201" s="26"/>
      <c r="BX201" s="26"/>
      <c r="BY201" s="26"/>
      <c r="BZ201" s="26"/>
      <c r="CA201" s="26"/>
      <c r="CB201" s="26"/>
      <c r="CC201" s="26"/>
      <c r="CD201" s="26"/>
      <c r="CE201" s="26"/>
      <c r="CF201" s="26"/>
      <c r="CG201" s="26"/>
      <c r="CH201" s="26"/>
      <c r="CI201" s="26"/>
      <c r="CJ201" s="26"/>
      <c r="CK201" s="26"/>
      <c r="CL201" s="26"/>
      <c r="CM201" s="26"/>
      <c r="CN201" s="26"/>
      <c r="CO201" s="26"/>
      <c r="CP201" s="26"/>
      <c r="CQ201" s="26"/>
      <c r="CR201" s="26"/>
      <c r="CS201" s="26"/>
      <c r="CT201" s="26"/>
      <c r="CU201" s="26"/>
      <c r="CV201" s="26"/>
      <c r="CW201" s="26"/>
      <c r="CX201" s="26"/>
      <c r="CY201" s="26"/>
      <c r="CZ201" s="26"/>
      <c r="DA201" s="26"/>
      <c r="DB201" s="26"/>
      <c r="DC201" s="26"/>
      <c r="DD201" s="26"/>
    </row>
    <row r="202" spans="59:108" x14ac:dyDescent="0.2">
      <c r="BG202" s="26"/>
      <c r="BH202" s="26"/>
      <c r="BI202" s="26"/>
      <c r="BJ202" s="26"/>
      <c r="BK202" s="26"/>
      <c r="BL202" s="26"/>
      <c r="BM202" s="26"/>
      <c r="BN202" s="26"/>
      <c r="BO202" s="26"/>
      <c r="BP202" s="26"/>
      <c r="BQ202" s="26"/>
      <c r="BR202" s="26"/>
      <c r="BS202" s="26"/>
      <c r="BT202" s="26"/>
      <c r="BU202" s="26"/>
      <c r="BV202" s="26"/>
      <c r="BW202" s="26"/>
      <c r="BX202" s="26"/>
      <c r="BY202" s="26"/>
      <c r="BZ202" s="26"/>
      <c r="CA202" s="26"/>
      <c r="CB202" s="26"/>
      <c r="CC202" s="26"/>
      <c r="CD202" s="26"/>
      <c r="CE202" s="26"/>
      <c r="CF202" s="26"/>
      <c r="CG202" s="26"/>
      <c r="CH202" s="26"/>
      <c r="CI202" s="26"/>
      <c r="CJ202" s="26"/>
      <c r="CK202" s="26"/>
      <c r="CL202" s="26"/>
      <c r="CM202" s="26"/>
      <c r="CN202" s="26"/>
      <c r="CO202" s="26"/>
      <c r="CP202" s="26"/>
      <c r="CQ202" s="26"/>
      <c r="CR202" s="26"/>
      <c r="CS202" s="26"/>
      <c r="CT202" s="26"/>
      <c r="CU202" s="26"/>
      <c r="CV202" s="26"/>
      <c r="CW202" s="26"/>
      <c r="CX202" s="26"/>
      <c r="CY202" s="26"/>
      <c r="CZ202" s="26"/>
      <c r="DA202" s="26"/>
      <c r="DB202" s="26"/>
      <c r="DC202" s="26"/>
      <c r="DD202" s="26"/>
    </row>
    <row r="203" spans="59:108" x14ac:dyDescent="0.2">
      <c r="BG203" s="26"/>
      <c r="BH203" s="26"/>
      <c r="BI203" s="26"/>
      <c r="BJ203" s="26"/>
      <c r="BK203" s="26"/>
      <c r="BL203" s="26"/>
      <c r="BM203" s="26"/>
      <c r="BN203" s="26"/>
      <c r="BO203" s="26"/>
      <c r="BP203" s="26"/>
      <c r="BQ203" s="26"/>
      <c r="BR203" s="26"/>
      <c r="BS203" s="26"/>
      <c r="BT203" s="26"/>
      <c r="BU203" s="26"/>
      <c r="BV203" s="26"/>
      <c r="BW203" s="26"/>
      <c r="BX203" s="26"/>
      <c r="BY203" s="26"/>
      <c r="BZ203" s="26"/>
      <c r="CA203" s="26"/>
      <c r="CB203" s="26"/>
      <c r="CC203" s="26"/>
      <c r="CD203" s="26"/>
      <c r="CE203" s="26"/>
      <c r="CF203" s="26"/>
      <c r="CG203" s="26"/>
      <c r="CH203" s="26"/>
      <c r="CI203" s="26"/>
      <c r="CJ203" s="26"/>
      <c r="CK203" s="26"/>
      <c r="CL203" s="26"/>
      <c r="CM203" s="26"/>
      <c r="CN203" s="26"/>
      <c r="CO203" s="26"/>
      <c r="CP203" s="26"/>
      <c r="CQ203" s="26"/>
      <c r="CR203" s="26"/>
      <c r="CS203" s="26"/>
      <c r="CT203" s="26"/>
      <c r="CU203" s="26"/>
      <c r="CV203" s="26"/>
      <c r="CW203" s="26"/>
      <c r="CX203" s="26"/>
      <c r="CY203" s="26"/>
      <c r="CZ203" s="26"/>
      <c r="DA203" s="26"/>
      <c r="DB203" s="26"/>
      <c r="DC203" s="26"/>
      <c r="DD203" s="26"/>
    </row>
    <row r="204" spans="59:108" x14ac:dyDescent="0.2">
      <c r="BG204" s="26"/>
      <c r="BH204" s="26"/>
      <c r="BI204" s="26"/>
      <c r="BJ204" s="26"/>
      <c r="BK204" s="26"/>
      <c r="BL204" s="26"/>
      <c r="BM204" s="26"/>
      <c r="BN204" s="26"/>
      <c r="BO204" s="26"/>
      <c r="BP204" s="26"/>
      <c r="BQ204" s="26"/>
      <c r="BR204" s="26"/>
      <c r="BS204" s="26"/>
      <c r="BT204" s="26"/>
      <c r="BU204" s="26"/>
      <c r="BV204" s="26"/>
      <c r="BW204" s="26"/>
      <c r="BX204" s="26"/>
      <c r="BY204" s="26"/>
      <c r="BZ204" s="26"/>
      <c r="CA204" s="26"/>
      <c r="CB204" s="26"/>
      <c r="CC204" s="26"/>
      <c r="CD204" s="26"/>
      <c r="CE204" s="26"/>
      <c r="CF204" s="26"/>
      <c r="CG204" s="26"/>
      <c r="CH204" s="26"/>
      <c r="CI204" s="26"/>
      <c r="CJ204" s="26"/>
      <c r="CK204" s="26"/>
      <c r="CL204" s="26"/>
      <c r="CM204" s="26"/>
      <c r="CN204" s="26"/>
      <c r="CO204" s="26"/>
      <c r="CP204" s="26"/>
      <c r="CQ204" s="26"/>
      <c r="CR204" s="26"/>
      <c r="CS204" s="26"/>
      <c r="CT204" s="26"/>
      <c r="CU204" s="26"/>
      <c r="CV204" s="26"/>
      <c r="CW204" s="26"/>
      <c r="CX204" s="26"/>
      <c r="CY204" s="26"/>
      <c r="CZ204" s="26"/>
      <c r="DA204" s="26"/>
      <c r="DB204" s="26"/>
      <c r="DC204" s="26"/>
      <c r="DD204" s="26"/>
    </row>
    <row r="205" spans="59:108" x14ac:dyDescent="0.2">
      <c r="BG205" s="26"/>
      <c r="BH205" s="26"/>
      <c r="BI205" s="26"/>
      <c r="BJ205" s="26"/>
      <c r="BK205" s="26"/>
      <c r="BL205" s="26"/>
      <c r="BM205" s="26"/>
      <c r="BN205" s="26"/>
      <c r="BO205" s="26"/>
      <c r="BP205" s="26"/>
      <c r="BQ205" s="26"/>
      <c r="BR205" s="26"/>
      <c r="BS205" s="26"/>
      <c r="BT205" s="26"/>
      <c r="BU205" s="26"/>
      <c r="BV205" s="26"/>
      <c r="BW205" s="26"/>
      <c r="BX205" s="26"/>
      <c r="BY205" s="26"/>
      <c r="BZ205" s="26"/>
      <c r="CA205" s="26"/>
      <c r="CB205" s="26"/>
      <c r="CC205" s="26"/>
      <c r="CD205" s="26"/>
      <c r="CE205" s="26"/>
      <c r="CF205" s="26"/>
      <c r="CG205" s="26"/>
      <c r="CH205" s="26"/>
      <c r="CI205" s="26"/>
      <c r="CJ205" s="26"/>
      <c r="CK205" s="26"/>
      <c r="CL205" s="26"/>
      <c r="CM205" s="26"/>
      <c r="CN205" s="26"/>
      <c r="CO205" s="26"/>
      <c r="CP205" s="26"/>
      <c r="CQ205" s="26"/>
      <c r="CR205" s="26"/>
      <c r="CS205" s="26"/>
      <c r="CT205" s="26"/>
      <c r="CU205" s="26"/>
      <c r="CV205" s="26"/>
      <c r="CW205" s="26"/>
      <c r="CX205" s="26"/>
      <c r="CY205" s="26"/>
      <c r="CZ205" s="26"/>
      <c r="DA205" s="26"/>
      <c r="DB205" s="26"/>
      <c r="DC205" s="26"/>
      <c r="DD205" s="26"/>
    </row>
    <row r="206" spans="59:108" x14ac:dyDescent="0.2">
      <c r="BG206" s="26"/>
      <c r="BH206" s="26"/>
      <c r="BI206" s="26"/>
      <c r="BJ206" s="26"/>
      <c r="BK206" s="26"/>
      <c r="BL206" s="26"/>
      <c r="BM206" s="26"/>
      <c r="BN206" s="26"/>
      <c r="BO206" s="26"/>
      <c r="BP206" s="26"/>
      <c r="BQ206" s="26"/>
      <c r="BR206" s="26"/>
      <c r="BS206" s="26"/>
      <c r="BT206" s="26"/>
      <c r="BU206" s="26"/>
      <c r="BV206" s="26"/>
      <c r="BW206" s="26"/>
      <c r="BX206" s="26"/>
      <c r="BY206" s="26"/>
      <c r="BZ206" s="26"/>
      <c r="CA206" s="26"/>
      <c r="CB206" s="26"/>
      <c r="CC206" s="26"/>
      <c r="CD206" s="26"/>
      <c r="CE206" s="26"/>
      <c r="CF206" s="26"/>
      <c r="CG206" s="26"/>
      <c r="CH206" s="26"/>
      <c r="CI206" s="26"/>
      <c r="CJ206" s="26"/>
      <c r="CK206" s="26"/>
      <c r="CL206" s="26"/>
      <c r="CM206" s="26"/>
      <c r="CN206" s="26"/>
      <c r="CO206" s="26"/>
      <c r="CP206" s="26"/>
      <c r="CQ206" s="26"/>
      <c r="CR206" s="26"/>
      <c r="CS206" s="26"/>
      <c r="CT206" s="26"/>
      <c r="CU206" s="26"/>
      <c r="CV206" s="26"/>
      <c r="CW206" s="26"/>
      <c r="CX206" s="26"/>
      <c r="CY206" s="26"/>
      <c r="CZ206" s="26"/>
      <c r="DA206" s="26"/>
      <c r="DB206" s="26"/>
      <c r="DC206" s="26"/>
      <c r="DD206" s="26"/>
    </row>
    <row r="207" spans="59:108" x14ac:dyDescent="0.2">
      <c r="BG207" s="26"/>
      <c r="BH207" s="26"/>
      <c r="BI207" s="26"/>
      <c r="BJ207" s="26"/>
      <c r="BK207" s="26"/>
      <c r="BL207" s="26"/>
      <c r="BM207" s="26"/>
      <c r="BN207" s="26"/>
      <c r="BO207" s="26"/>
      <c r="BP207" s="26"/>
      <c r="BQ207" s="26"/>
      <c r="BR207" s="26"/>
      <c r="BS207" s="26"/>
      <c r="BT207" s="26"/>
      <c r="BU207" s="26"/>
      <c r="BV207" s="26"/>
      <c r="BW207" s="26"/>
      <c r="BX207" s="26"/>
      <c r="BY207" s="26"/>
      <c r="BZ207" s="26"/>
      <c r="CA207" s="26"/>
      <c r="CB207" s="26"/>
      <c r="CC207" s="26"/>
      <c r="CD207" s="26"/>
      <c r="CE207" s="26"/>
      <c r="CF207" s="26"/>
      <c r="CG207" s="26"/>
      <c r="CH207" s="26"/>
      <c r="CI207" s="26"/>
      <c r="CJ207" s="26"/>
      <c r="CK207" s="26"/>
      <c r="CL207" s="26"/>
      <c r="CM207" s="26"/>
      <c r="CN207" s="26"/>
      <c r="CO207" s="26"/>
      <c r="CP207" s="26"/>
      <c r="CQ207" s="26"/>
      <c r="CR207" s="26"/>
      <c r="CS207" s="26"/>
      <c r="CT207" s="26"/>
      <c r="CU207" s="26"/>
      <c r="CV207" s="26"/>
      <c r="CW207" s="26"/>
      <c r="CX207" s="26"/>
      <c r="CY207" s="26"/>
      <c r="CZ207" s="26"/>
      <c r="DA207" s="26"/>
      <c r="DB207" s="26"/>
      <c r="DC207" s="26"/>
      <c r="DD207" s="26"/>
    </row>
    <row r="208" spans="59:108" x14ac:dyDescent="0.2">
      <c r="BG208" s="26"/>
      <c r="BH208" s="26"/>
      <c r="BI208" s="26"/>
      <c r="BJ208" s="26"/>
      <c r="BK208" s="26"/>
      <c r="BL208" s="26"/>
      <c r="BM208" s="26"/>
      <c r="BN208" s="26"/>
      <c r="BO208" s="26"/>
      <c r="BP208" s="26"/>
      <c r="BQ208" s="26"/>
      <c r="BR208" s="26"/>
      <c r="BS208" s="26"/>
      <c r="BT208" s="26"/>
      <c r="BU208" s="26"/>
      <c r="BV208" s="26"/>
      <c r="BW208" s="26"/>
      <c r="BX208" s="26"/>
      <c r="BY208" s="26"/>
      <c r="BZ208" s="26"/>
      <c r="CA208" s="26"/>
      <c r="CB208" s="26"/>
      <c r="CC208" s="26"/>
      <c r="CD208" s="26"/>
      <c r="CE208" s="26"/>
      <c r="CF208" s="26"/>
      <c r="CG208" s="26"/>
      <c r="CH208" s="26"/>
      <c r="CI208" s="26"/>
      <c r="CJ208" s="26"/>
      <c r="CK208" s="26"/>
      <c r="CL208" s="26"/>
      <c r="CM208" s="26"/>
      <c r="CN208" s="26"/>
      <c r="CO208" s="26"/>
      <c r="CP208" s="26"/>
      <c r="CQ208" s="26"/>
      <c r="CR208" s="26"/>
      <c r="CS208" s="26"/>
      <c r="CT208" s="26"/>
      <c r="CU208" s="26"/>
      <c r="CV208" s="26"/>
      <c r="CW208" s="26"/>
      <c r="CX208" s="26"/>
      <c r="CY208" s="26"/>
      <c r="CZ208" s="26"/>
      <c r="DA208" s="26"/>
      <c r="DB208" s="26"/>
      <c r="DC208" s="26"/>
      <c r="DD208" s="26"/>
    </row>
    <row r="209" spans="59:108" x14ac:dyDescent="0.2">
      <c r="BG209" s="26"/>
      <c r="BH209" s="26"/>
      <c r="BI209" s="26"/>
      <c r="BJ209" s="26"/>
      <c r="BK209" s="26"/>
      <c r="BL209" s="26"/>
      <c r="BM209" s="26"/>
      <c r="BN209" s="26"/>
      <c r="BO209" s="26"/>
      <c r="BP209" s="26"/>
      <c r="BQ209" s="26"/>
      <c r="BR209" s="26"/>
      <c r="BS209" s="26"/>
      <c r="BT209" s="26"/>
      <c r="BU209" s="26"/>
      <c r="BV209" s="26"/>
      <c r="BW209" s="26"/>
      <c r="BX209" s="26"/>
      <c r="BY209" s="26"/>
      <c r="BZ209" s="26"/>
      <c r="CA209" s="26"/>
      <c r="CB209" s="26"/>
      <c r="CC209" s="26"/>
      <c r="CD209" s="26"/>
      <c r="CE209" s="26"/>
      <c r="CF209" s="26"/>
      <c r="CG209" s="26"/>
      <c r="CH209" s="26"/>
      <c r="CI209" s="26"/>
      <c r="CJ209" s="26"/>
      <c r="CK209" s="26"/>
      <c r="CL209" s="26"/>
      <c r="CM209" s="26"/>
      <c r="CN209" s="26"/>
      <c r="CO209" s="26"/>
      <c r="CP209" s="26"/>
      <c r="CQ209" s="26"/>
      <c r="CR209" s="26"/>
      <c r="CS209" s="26"/>
      <c r="CT209" s="26"/>
      <c r="CU209" s="26"/>
      <c r="CV209" s="26"/>
      <c r="CW209" s="26"/>
      <c r="CX209" s="26"/>
      <c r="CY209" s="26"/>
      <c r="CZ209" s="26"/>
      <c r="DA209" s="26"/>
      <c r="DB209" s="26"/>
      <c r="DC209" s="26"/>
      <c r="DD209" s="26"/>
    </row>
    <row r="210" spans="59:108" x14ac:dyDescent="0.2">
      <c r="BG210" s="26"/>
      <c r="BH210" s="26"/>
      <c r="BI210" s="26"/>
      <c r="BJ210" s="26"/>
      <c r="BK210" s="26"/>
      <c r="BL210" s="26"/>
      <c r="BM210" s="26"/>
      <c r="BN210" s="26"/>
      <c r="BO210" s="26"/>
      <c r="BP210" s="26"/>
      <c r="BQ210" s="26"/>
      <c r="BR210" s="26"/>
      <c r="BS210" s="26"/>
      <c r="BT210" s="26"/>
      <c r="BU210" s="26"/>
      <c r="BV210" s="26"/>
      <c r="BW210" s="26"/>
      <c r="BX210" s="26"/>
      <c r="BY210" s="26"/>
      <c r="BZ210" s="26"/>
      <c r="CA210" s="26"/>
      <c r="CB210" s="26"/>
      <c r="CC210" s="26"/>
      <c r="CD210" s="26"/>
      <c r="CE210" s="26"/>
      <c r="CF210" s="26"/>
      <c r="CG210" s="26"/>
      <c r="CH210" s="26"/>
      <c r="CI210" s="26"/>
      <c r="CJ210" s="26"/>
      <c r="CK210" s="26"/>
      <c r="CL210" s="26"/>
      <c r="CM210" s="26"/>
      <c r="CN210" s="26"/>
      <c r="CO210" s="26"/>
      <c r="CP210" s="26"/>
      <c r="CQ210" s="26"/>
      <c r="CR210" s="26"/>
      <c r="CS210" s="26"/>
      <c r="CT210" s="26"/>
      <c r="CU210" s="26"/>
      <c r="CV210" s="26"/>
      <c r="CW210" s="26"/>
      <c r="CX210" s="26"/>
      <c r="CY210" s="26"/>
      <c r="CZ210" s="26"/>
      <c r="DA210" s="26"/>
      <c r="DB210" s="26"/>
      <c r="DC210" s="26"/>
      <c r="DD210" s="26"/>
    </row>
    <row r="211" spans="59:108" x14ac:dyDescent="0.2">
      <c r="BG211" s="26"/>
      <c r="BH211" s="26"/>
      <c r="BI211" s="26"/>
      <c r="BJ211" s="26"/>
      <c r="BK211" s="26"/>
      <c r="BL211" s="26"/>
      <c r="BM211" s="26"/>
      <c r="BN211" s="26"/>
      <c r="BO211" s="26"/>
      <c r="BP211" s="26"/>
      <c r="BQ211" s="26"/>
      <c r="BR211" s="26"/>
      <c r="BS211" s="26"/>
      <c r="BT211" s="26"/>
      <c r="BU211" s="26"/>
      <c r="BV211" s="26"/>
      <c r="BW211" s="26"/>
      <c r="BX211" s="26"/>
      <c r="BY211" s="26"/>
      <c r="BZ211" s="26"/>
      <c r="CA211" s="26"/>
      <c r="CB211" s="26"/>
      <c r="CC211" s="26"/>
      <c r="CD211" s="26"/>
      <c r="CE211" s="26"/>
      <c r="CF211" s="26"/>
      <c r="CG211" s="26"/>
      <c r="CH211" s="26"/>
      <c r="CI211" s="26"/>
      <c r="CJ211" s="26"/>
      <c r="CK211" s="26"/>
      <c r="CL211" s="26"/>
      <c r="CM211" s="26"/>
      <c r="CN211" s="26"/>
      <c r="CO211" s="26"/>
      <c r="CP211" s="26"/>
      <c r="CQ211" s="26"/>
      <c r="CR211" s="26"/>
      <c r="CS211" s="26"/>
      <c r="CT211" s="26"/>
      <c r="CU211" s="26"/>
      <c r="CV211" s="26"/>
      <c r="CW211" s="26"/>
      <c r="CX211" s="26"/>
      <c r="CY211" s="26"/>
      <c r="CZ211" s="26"/>
      <c r="DA211" s="26"/>
      <c r="DB211" s="26"/>
      <c r="DC211" s="26"/>
      <c r="DD211" s="26"/>
    </row>
    <row r="212" spans="59:108" x14ac:dyDescent="0.2">
      <c r="BG212" s="26"/>
      <c r="BH212" s="26"/>
      <c r="BI212" s="26"/>
      <c r="BJ212" s="26"/>
      <c r="BK212" s="26"/>
      <c r="BL212" s="26"/>
      <c r="BM212" s="26"/>
      <c r="BN212" s="26"/>
      <c r="BO212" s="26"/>
      <c r="BP212" s="26"/>
      <c r="BQ212" s="26"/>
      <c r="BR212" s="26"/>
      <c r="BS212" s="26"/>
      <c r="BT212" s="26"/>
      <c r="BU212" s="26"/>
      <c r="BV212" s="26"/>
      <c r="BW212" s="26"/>
      <c r="BX212" s="26"/>
      <c r="BY212" s="26"/>
      <c r="BZ212" s="26"/>
      <c r="CA212" s="26"/>
      <c r="CB212" s="26"/>
      <c r="CC212" s="26"/>
      <c r="CD212" s="26"/>
      <c r="CE212" s="26"/>
      <c r="CF212" s="26"/>
      <c r="CG212" s="26"/>
      <c r="CH212" s="26"/>
      <c r="CI212" s="26"/>
      <c r="CJ212" s="26"/>
      <c r="CK212" s="26"/>
      <c r="CL212" s="26"/>
      <c r="CM212" s="26"/>
      <c r="CN212" s="26"/>
      <c r="CO212" s="26"/>
      <c r="CP212" s="26"/>
      <c r="CQ212" s="26"/>
      <c r="CR212" s="26"/>
      <c r="CS212" s="26"/>
      <c r="CT212" s="26"/>
      <c r="CU212" s="26"/>
      <c r="CV212" s="26"/>
      <c r="CW212" s="26"/>
      <c r="CX212" s="26"/>
      <c r="CY212" s="26"/>
      <c r="CZ212" s="26"/>
      <c r="DA212" s="26"/>
      <c r="DB212" s="26"/>
      <c r="DC212" s="26"/>
      <c r="DD212" s="26"/>
    </row>
    <row r="213" spans="59:108" x14ac:dyDescent="0.2">
      <c r="BG213" s="26"/>
      <c r="BH213" s="26"/>
      <c r="BI213" s="26"/>
      <c r="BJ213" s="26"/>
      <c r="BK213" s="26"/>
      <c r="BL213" s="26"/>
      <c r="BM213" s="26"/>
      <c r="BN213" s="26"/>
      <c r="BO213" s="26"/>
      <c r="BP213" s="26"/>
      <c r="BQ213" s="26"/>
      <c r="BR213" s="26"/>
      <c r="BS213" s="26"/>
      <c r="BT213" s="26"/>
      <c r="BU213" s="26"/>
      <c r="BV213" s="26"/>
      <c r="BW213" s="26"/>
      <c r="BX213" s="26"/>
      <c r="BY213" s="26"/>
      <c r="BZ213" s="26"/>
      <c r="CA213" s="26"/>
      <c r="CB213" s="26"/>
      <c r="CC213" s="26"/>
      <c r="CD213" s="26"/>
      <c r="CE213" s="26"/>
      <c r="CF213" s="26"/>
      <c r="CG213" s="26"/>
      <c r="CH213" s="26"/>
      <c r="CI213" s="26"/>
      <c r="CJ213" s="26"/>
      <c r="CK213" s="26"/>
      <c r="CL213" s="26"/>
      <c r="CM213" s="26"/>
      <c r="CN213" s="26"/>
      <c r="CO213" s="26"/>
      <c r="CP213" s="26"/>
      <c r="CQ213" s="26"/>
      <c r="CR213" s="26"/>
      <c r="CS213" s="26"/>
      <c r="CT213" s="26"/>
      <c r="CU213" s="26"/>
      <c r="CV213" s="26"/>
      <c r="CW213" s="26"/>
      <c r="CX213" s="26"/>
      <c r="CY213" s="26"/>
      <c r="CZ213" s="26"/>
      <c r="DA213" s="26"/>
      <c r="DB213" s="26"/>
      <c r="DC213" s="26"/>
      <c r="DD213" s="26"/>
    </row>
    <row r="214" spans="59:108" x14ac:dyDescent="0.2">
      <c r="BG214" s="26"/>
      <c r="BH214" s="26"/>
      <c r="BI214" s="26"/>
      <c r="BJ214" s="26"/>
      <c r="BK214" s="26"/>
      <c r="BL214" s="26"/>
      <c r="BM214" s="26"/>
      <c r="BN214" s="26"/>
      <c r="BO214" s="26"/>
      <c r="BP214" s="26"/>
      <c r="BQ214" s="26"/>
      <c r="BR214" s="26"/>
      <c r="BS214" s="26"/>
      <c r="BT214" s="26"/>
      <c r="BU214" s="26"/>
      <c r="BV214" s="26"/>
      <c r="BW214" s="26"/>
      <c r="BX214" s="26"/>
      <c r="BY214" s="26"/>
      <c r="BZ214" s="26"/>
      <c r="CA214" s="26"/>
      <c r="CB214" s="26"/>
      <c r="CC214" s="26"/>
      <c r="CD214" s="26"/>
      <c r="CE214" s="26"/>
      <c r="CF214" s="26"/>
      <c r="CG214" s="26"/>
      <c r="CH214" s="26"/>
      <c r="CI214" s="26"/>
      <c r="CJ214" s="26"/>
      <c r="CK214" s="26"/>
      <c r="CL214" s="26"/>
      <c r="CM214" s="26"/>
      <c r="CN214" s="26"/>
      <c r="CO214" s="26"/>
      <c r="CP214" s="26"/>
      <c r="CQ214" s="26"/>
      <c r="CR214" s="26"/>
      <c r="CS214" s="26"/>
      <c r="CT214" s="26"/>
      <c r="CU214" s="26"/>
      <c r="CV214" s="26"/>
      <c r="CW214" s="26"/>
      <c r="CX214" s="26"/>
      <c r="CY214" s="26"/>
      <c r="CZ214" s="26"/>
      <c r="DA214" s="26"/>
      <c r="DB214" s="26"/>
      <c r="DC214" s="26"/>
      <c r="DD214" s="26"/>
    </row>
    <row r="215" spans="59:108" x14ac:dyDescent="0.2">
      <c r="BG215" s="26"/>
      <c r="BH215" s="26"/>
      <c r="BI215" s="26"/>
      <c r="BJ215" s="26"/>
      <c r="BK215" s="26"/>
      <c r="BL215" s="26"/>
      <c r="BM215" s="26"/>
      <c r="BN215" s="26"/>
      <c r="BO215" s="26"/>
      <c r="BP215" s="26"/>
      <c r="BQ215" s="26"/>
      <c r="BR215" s="26"/>
      <c r="BS215" s="26"/>
      <c r="BT215" s="26"/>
      <c r="BU215" s="26"/>
      <c r="BV215" s="26"/>
      <c r="BW215" s="26"/>
      <c r="BX215" s="26"/>
      <c r="BY215" s="26"/>
      <c r="BZ215" s="26"/>
      <c r="CA215" s="26"/>
      <c r="CB215" s="26"/>
      <c r="CC215" s="26"/>
      <c r="CD215" s="26"/>
      <c r="CE215" s="26"/>
      <c r="CF215" s="26"/>
      <c r="CG215" s="26"/>
      <c r="CH215" s="26"/>
      <c r="CI215" s="26"/>
      <c r="CJ215" s="26"/>
      <c r="CK215" s="26"/>
      <c r="CL215" s="26"/>
      <c r="CM215" s="26"/>
      <c r="CN215" s="26"/>
      <c r="CO215" s="26"/>
      <c r="CP215" s="26"/>
      <c r="CQ215" s="26"/>
      <c r="CR215" s="26"/>
      <c r="CS215" s="26"/>
      <c r="CT215" s="26"/>
      <c r="CU215" s="26"/>
      <c r="CV215" s="26"/>
      <c r="CW215" s="26"/>
      <c r="CX215" s="26"/>
      <c r="CY215" s="26"/>
      <c r="CZ215" s="26"/>
      <c r="DA215" s="26"/>
      <c r="DB215" s="26"/>
      <c r="DC215" s="26"/>
      <c r="DD215" s="26"/>
    </row>
    <row r="216" spans="59:108" x14ac:dyDescent="0.2">
      <c r="BG216" s="26"/>
      <c r="BH216" s="26"/>
      <c r="BI216" s="26"/>
      <c r="BJ216" s="26"/>
      <c r="BK216" s="26"/>
      <c r="BL216" s="26"/>
      <c r="BM216" s="26"/>
      <c r="BN216" s="26"/>
      <c r="BO216" s="26"/>
      <c r="BP216" s="26"/>
      <c r="BQ216" s="26"/>
      <c r="BR216" s="26"/>
      <c r="BS216" s="26"/>
      <c r="BT216" s="26"/>
      <c r="BU216" s="26"/>
      <c r="BV216" s="26"/>
      <c r="BW216" s="26"/>
      <c r="BX216" s="26"/>
      <c r="BY216" s="26"/>
      <c r="BZ216" s="26"/>
      <c r="CA216" s="26"/>
      <c r="CB216" s="26"/>
      <c r="CC216" s="26"/>
      <c r="CD216" s="26"/>
      <c r="CE216" s="26"/>
      <c r="CF216" s="26"/>
      <c r="CG216" s="26"/>
      <c r="CH216" s="26"/>
      <c r="CI216" s="26"/>
      <c r="CJ216" s="26"/>
      <c r="CK216" s="26"/>
      <c r="CL216" s="26"/>
      <c r="CM216" s="26"/>
      <c r="CN216" s="26"/>
      <c r="CO216" s="26"/>
      <c r="CP216" s="26"/>
      <c r="CQ216" s="26"/>
      <c r="CR216" s="26"/>
      <c r="CS216" s="26"/>
      <c r="CT216" s="26"/>
      <c r="CU216" s="26"/>
      <c r="CV216" s="26"/>
      <c r="CW216" s="26"/>
      <c r="CX216" s="26"/>
      <c r="CY216" s="26"/>
      <c r="CZ216" s="26"/>
      <c r="DA216" s="26"/>
      <c r="DB216" s="26"/>
      <c r="DC216" s="26"/>
      <c r="DD216" s="26"/>
    </row>
    <row r="217" spans="59:108" x14ac:dyDescent="0.2">
      <c r="BG217" s="26"/>
      <c r="BH217" s="26"/>
      <c r="BI217" s="26"/>
      <c r="BJ217" s="26"/>
      <c r="BK217" s="26"/>
      <c r="BL217" s="26"/>
      <c r="BM217" s="26"/>
      <c r="BN217" s="26"/>
      <c r="BO217" s="26"/>
      <c r="BP217" s="26"/>
      <c r="BQ217" s="26"/>
      <c r="BR217" s="26"/>
      <c r="BS217" s="26"/>
      <c r="BT217" s="26"/>
      <c r="BU217" s="26"/>
      <c r="BV217" s="26"/>
      <c r="BW217" s="26"/>
      <c r="BX217" s="26"/>
      <c r="BY217" s="26"/>
      <c r="BZ217" s="26"/>
      <c r="CA217" s="26"/>
      <c r="CB217" s="26"/>
      <c r="CC217" s="26"/>
      <c r="CD217" s="26"/>
      <c r="CE217" s="26"/>
      <c r="CF217" s="26"/>
      <c r="CG217" s="26"/>
      <c r="CH217" s="26"/>
      <c r="CI217" s="26"/>
      <c r="CJ217" s="26"/>
      <c r="CK217" s="26"/>
      <c r="CL217" s="26"/>
      <c r="CM217" s="26"/>
      <c r="CN217" s="26"/>
      <c r="CO217" s="26"/>
      <c r="CP217" s="26"/>
      <c r="CQ217" s="26"/>
      <c r="CR217" s="26"/>
      <c r="CS217" s="26"/>
      <c r="CT217" s="26"/>
      <c r="CU217" s="26"/>
      <c r="CV217" s="26"/>
      <c r="CW217" s="26"/>
      <c r="CX217" s="26"/>
      <c r="CY217" s="26"/>
      <c r="CZ217" s="26"/>
      <c r="DA217" s="26"/>
      <c r="DB217" s="26"/>
      <c r="DC217" s="26"/>
      <c r="DD217" s="26"/>
    </row>
    <row r="218" spans="59:108" x14ac:dyDescent="0.2">
      <c r="BG218" s="26"/>
      <c r="BH218" s="26"/>
      <c r="BI218" s="26"/>
      <c r="BJ218" s="26"/>
      <c r="BK218" s="26"/>
      <c r="BL218" s="26"/>
      <c r="BM218" s="26"/>
      <c r="BN218" s="26"/>
      <c r="BO218" s="26"/>
      <c r="BP218" s="26"/>
      <c r="BQ218" s="26"/>
      <c r="BR218" s="26"/>
      <c r="BS218" s="26"/>
      <c r="BT218" s="26"/>
      <c r="BU218" s="26"/>
      <c r="BV218" s="26"/>
      <c r="BW218" s="26"/>
      <c r="BX218" s="26"/>
      <c r="BY218" s="26"/>
      <c r="BZ218" s="26"/>
      <c r="CA218" s="26"/>
      <c r="CB218" s="26"/>
      <c r="CC218" s="26"/>
      <c r="CD218" s="26"/>
      <c r="CE218" s="26"/>
      <c r="CF218" s="26"/>
      <c r="CG218" s="26"/>
      <c r="CH218" s="26"/>
      <c r="CI218" s="26"/>
      <c r="CJ218" s="26"/>
      <c r="CK218" s="26"/>
      <c r="CL218" s="26"/>
      <c r="CM218" s="26"/>
      <c r="CN218" s="26"/>
      <c r="CO218" s="26"/>
      <c r="CP218" s="26"/>
      <c r="CQ218" s="26"/>
      <c r="CR218" s="26"/>
      <c r="CS218" s="26"/>
      <c r="CT218" s="26"/>
      <c r="CU218" s="26"/>
      <c r="CV218" s="26"/>
      <c r="CW218" s="26"/>
      <c r="CX218" s="26"/>
      <c r="CY218" s="26"/>
      <c r="CZ218" s="26"/>
      <c r="DA218" s="26"/>
      <c r="DB218" s="26"/>
      <c r="DC218" s="26"/>
      <c r="DD218" s="26"/>
    </row>
    <row r="219" spans="59:108" x14ac:dyDescent="0.2">
      <c r="BG219" s="26"/>
      <c r="BH219" s="26"/>
      <c r="BI219" s="26"/>
      <c r="BJ219" s="26"/>
      <c r="BK219" s="26"/>
      <c r="BL219" s="26"/>
      <c r="BM219" s="26"/>
      <c r="BN219" s="26"/>
      <c r="BO219" s="26"/>
      <c r="BP219" s="26"/>
      <c r="BQ219" s="26"/>
      <c r="BR219" s="26"/>
      <c r="BS219" s="26"/>
      <c r="BT219" s="26"/>
      <c r="BU219" s="26"/>
      <c r="BV219" s="26"/>
      <c r="BW219" s="26"/>
      <c r="BX219" s="26"/>
      <c r="BY219" s="26"/>
      <c r="BZ219" s="26"/>
      <c r="CA219" s="26"/>
      <c r="CB219" s="26"/>
      <c r="CC219" s="26"/>
      <c r="CD219" s="26"/>
      <c r="CE219" s="26"/>
      <c r="CF219" s="26"/>
      <c r="CG219" s="26"/>
      <c r="CH219" s="26"/>
      <c r="CI219" s="26"/>
      <c r="CJ219" s="26"/>
      <c r="CK219" s="26"/>
      <c r="CL219" s="26"/>
      <c r="CM219" s="26"/>
      <c r="CN219" s="26"/>
      <c r="CO219" s="26"/>
      <c r="CP219" s="26"/>
      <c r="CQ219" s="26"/>
      <c r="CR219" s="26"/>
      <c r="CS219" s="26"/>
      <c r="CT219" s="26"/>
      <c r="CU219" s="26"/>
      <c r="CV219" s="26"/>
      <c r="CW219" s="26"/>
      <c r="CX219" s="26"/>
      <c r="CY219" s="26"/>
      <c r="CZ219" s="26"/>
      <c r="DA219" s="26"/>
      <c r="DB219" s="26"/>
      <c r="DC219" s="26"/>
      <c r="DD219" s="26"/>
    </row>
    <row r="220" spans="59:108" x14ac:dyDescent="0.2">
      <c r="BG220" s="26"/>
      <c r="BH220" s="26"/>
      <c r="BI220" s="26"/>
      <c r="BJ220" s="26"/>
      <c r="BK220" s="26"/>
      <c r="BL220" s="26"/>
      <c r="BM220" s="26"/>
      <c r="BN220" s="26"/>
      <c r="BO220" s="26"/>
      <c r="BP220" s="26"/>
      <c r="BQ220" s="26"/>
      <c r="BR220" s="26"/>
      <c r="BS220" s="26"/>
      <c r="BT220" s="26"/>
      <c r="BU220" s="26"/>
      <c r="BV220" s="26"/>
      <c r="BW220" s="26"/>
      <c r="BX220" s="26"/>
      <c r="BY220" s="26"/>
      <c r="BZ220" s="26"/>
      <c r="CA220" s="26"/>
      <c r="CB220" s="26"/>
      <c r="CC220" s="26"/>
      <c r="CD220" s="26"/>
      <c r="CE220" s="26"/>
      <c r="CF220" s="26"/>
      <c r="CG220" s="26"/>
      <c r="CH220" s="26"/>
      <c r="CI220" s="26"/>
      <c r="CJ220" s="26"/>
      <c r="CK220" s="26"/>
      <c r="CL220" s="26"/>
      <c r="CM220" s="26"/>
      <c r="CN220" s="26"/>
      <c r="CO220" s="26"/>
      <c r="CP220" s="26"/>
      <c r="CQ220" s="26"/>
      <c r="CR220" s="26"/>
      <c r="CS220" s="26"/>
      <c r="CT220" s="26"/>
      <c r="CU220" s="26"/>
      <c r="CV220" s="26"/>
      <c r="CW220" s="26"/>
      <c r="CX220" s="26"/>
      <c r="CY220" s="26"/>
      <c r="CZ220" s="26"/>
      <c r="DA220" s="26"/>
      <c r="DB220" s="26"/>
      <c r="DC220" s="26"/>
      <c r="DD220" s="26"/>
    </row>
    <row r="221" spans="59:108" x14ac:dyDescent="0.2">
      <c r="BG221" s="26"/>
      <c r="BH221" s="26"/>
      <c r="BI221" s="26"/>
      <c r="BJ221" s="26"/>
      <c r="BK221" s="26"/>
      <c r="BL221" s="26"/>
      <c r="BM221" s="26"/>
      <c r="BN221" s="26"/>
      <c r="BO221" s="26"/>
      <c r="BP221" s="26"/>
      <c r="BQ221" s="26"/>
      <c r="BR221" s="26"/>
      <c r="BS221" s="26"/>
      <c r="BT221" s="26"/>
      <c r="BU221" s="26"/>
      <c r="BV221" s="26"/>
      <c r="BW221" s="26"/>
      <c r="BX221" s="26"/>
      <c r="BY221" s="26"/>
      <c r="BZ221" s="26"/>
      <c r="CA221" s="26"/>
      <c r="CB221" s="26"/>
      <c r="CC221" s="26"/>
      <c r="CD221" s="26"/>
      <c r="CE221" s="26"/>
      <c r="CF221" s="26"/>
      <c r="CG221" s="26"/>
      <c r="CH221" s="26"/>
      <c r="CI221" s="26"/>
      <c r="CJ221" s="26"/>
      <c r="CK221" s="26"/>
      <c r="CL221" s="26"/>
      <c r="CM221" s="26"/>
      <c r="CN221" s="26"/>
      <c r="CO221" s="26"/>
      <c r="CP221" s="26"/>
      <c r="CQ221" s="26"/>
      <c r="CR221" s="26"/>
      <c r="CS221" s="26"/>
      <c r="CT221" s="26"/>
      <c r="CU221" s="26"/>
      <c r="CV221" s="26"/>
      <c r="CW221" s="26"/>
      <c r="CX221" s="26"/>
      <c r="CY221" s="26"/>
      <c r="CZ221" s="26"/>
      <c r="DA221" s="26"/>
      <c r="DB221" s="26"/>
      <c r="DC221" s="26"/>
      <c r="DD221" s="26"/>
    </row>
    <row r="222" spans="59:108" x14ac:dyDescent="0.2">
      <c r="BG222" s="26"/>
      <c r="BH222" s="26"/>
      <c r="BI222" s="26"/>
      <c r="BJ222" s="26"/>
      <c r="BK222" s="26"/>
      <c r="BL222" s="26"/>
      <c r="BM222" s="26"/>
      <c r="BN222" s="26"/>
      <c r="BO222" s="26"/>
      <c r="BP222" s="26"/>
      <c r="BQ222" s="26"/>
      <c r="BR222" s="26"/>
      <c r="BS222" s="26"/>
      <c r="BT222" s="26"/>
      <c r="BU222" s="26"/>
      <c r="BV222" s="26"/>
      <c r="BW222" s="26"/>
      <c r="BX222" s="26"/>
      <c r="BY222" s="26"/>
      <c r="BZ222" s="26"/>
      <c r="CA222" s="26"/>
      <c r="CB222" s="26"/>
      <c r="CC222" s="26"/>
      <c r="CD222" s="26"/>
      <c r="CE222" s="26"/>
      <c r="CF222" s="26"/>
      <c r="CG222" s="26"/>
      <c r="CH222" s="26"/>
      <c r="CI222" s="26"/>
      <c r="CJ222" s="26"/>
      <c r="CK222" s="26"/>
      <c r="CL222" s="26"/>
      <c r="CM222" s="26"/>
      <c r="CN222" s="26"/>
      <c r="CO222" s="26"/>
      <c r="CP222" s="26"/>
      <c r="CQ222" s="26"/>
      <c r="CR222" s="26"/>
      <c r="CS222" s="26"/>
      <c r="CT222" s="26"/>
      <c r="CU222" s="26"/>
      <c r="CV222" s="26"/>
      <c r="CW222" s="26"/>
      <c r="CX222" s="26"/>
      <c r="CY222" s="26"/>
      <c r="CZ222" s="26"/>
      <c r="DA222" s="26"/>
      <c r="DB222" s="26"/>
      <c r="DC222" s="26"/>
      <c r="DD222" s="26"/>
    </row>
    <row r="223" spans="59:108" x14ac:dyDescent="0.2">
      <c r="BG223" s="26"/>
      <c r="BH223" s="26"/>
      <c r="BI223" s="26"/>
      <c r="BJ223" s="26"/>
      <c r="BK223" s="26"/>
      <c r="BL223" s="26"/>
      <c r="BM223" s="26"/>
      <c r="BN223" s="26"/>
      <c r="BO223" s="26"/>
      <c r="BP223" s="26"/>
      <c r="BQ223" s="26"/>
      <c r="BR223" s="26"/>
      <c r="BS223" s="26"/>
      <c r="BT223" s="26"/>
      <c r="BU223" s="26"/>
      <c r="BV223" s="26"/>
      <c r="BW223" s="26"/>
      <c r="BX223" s="26"/>
      <c r="BY223" s="26"/>
      <c r="BZ223" s="26"/>
      <c r="CA223" s="26"/>
      <c r="CB223" s="26"/>
      <c r="CC223" s="26"/>
      <c r="CD223" s="26"/>
      <c r="CE223" s="26"/>
      <c r="CF223" s="26"/>
      <c r="CG223" s="26"/>
      <c r="CH223" s="26"/>
      <c r="CI223" s="26"/>
      <c r="CJ223" s="26"/>
      <c r="CK223" s="26"/>
      <c r="CL223" s="26"/>
      <c r="CM223" s="26"/>
      <c r="CN223" s="26"/>
      <c r="CO223" s="26"/>
      <c r="CP223" s="26"/>
      <c r="CQ223" s="26"/>
      <c r="CR223" s="26"/>
      <c r="CS223" s="26"/>
      <c r="CT223" s="26"/>
      <c r="CU223" s="26"/>
      <c r="CV223" s="26"/>
      <c r="CW223" s="26"/>
      <c r="CX223" s="26"/>
      <c r="CY223" s="26"/>
      <c r="CZ223" s="26"/>
      <c r="DA223" s="26"/>
      <c r="DB223" s="26"/>
      <c r="DC223" s="26"/>
      <c r="DD223" s="26"/>
    </row>
    <row r="224" spans="59:108" x14ac:dyDescent="0.2">
      <c r="BG224" s="26"/>
      <c r="BH224" s="26"/>
      <c r="BI224" s="26"/>
      <c r="BJ224" s="26"/>
      <c r="BK224" s="26"/>
      <c r="BL224" s="26"/>
      <c r="BM224" s="26"/>
      <c r="BN224" s="26"/>
      <c r="BO224" s="26"/>
      <c r="BP224" s="26"/>
      <c r="BQ224" s="26"/>
      <c r="BR224" s="26"/>
      <c r="BS224" s="26"/>
      <c r="BT224" s="26"/>
      <c r="BU224" s="26"/>
      <c r="BV224" s="26"/>
      <c r="BW224" s="26"/>
      <c r="BX224" s="26"/>
      <c r="BY224" s="26"/>
      <c r="BZ224" s="26"/>
      <c r="CA224" s="26"/>
      <c r="CB224" s="26"/>
      <c r="CC224" s="26"/>
      <c r="CD224" s="26"/>
      <c r="CE224" s="26"/>
      <c r="CF224" s="26"/>
      <c r="CG224" s="26"/>
      <c r="CH224" s="26"/>
      <c r="CI224" s="26"/>
      <c r="CJ224" s="26"/>
      <c r="CK224" s="26"/>
      <c r="CL224" s="26"/>
      <c r="CM224" s="26"/>
      <c r="CN224" s="26"/>
      <c r="CO224" s="26"/>
      <c r="CP224" s="26"/>
      <c r="CQ224" s="26"/>
      <c r="CR224" s="26"/>
      <c r="CS224" s="26"/>
      <c r="CT224" s="26"/>
      <c r="CU224" s="26"/>
      <c r="CV224" s="26"/>
      <c r="CW224" s="26"/>
      <c r="CX224" s="26"/>
      <c r="CY224" s="26"/>
      <c r="CZ224" s="26"/>
      <c r="DA224" s="26"/>
      <c r="DB224" s="26"/>
      <c r="DC224" s="26"/>
      <c r="DD224" s="26"/>
    </row>
    <row r="225" spans="59:108" x14ac:dyDescent="0.2">
      <c r="BG225" s="26"/>
      <c r="BH225" s="26"/>
      <c r="BI225" s="26"/>
      <c r="BJ225" s="26"/>
      <c r="BK225" s="26"/>
      <c r="BL225" s="26"/>
      <c r="BM225" s="26"/>
      <c r="BN225" s="26"/>
      <c r="BO225" s="26"/>
      <c r="BP225" s="26"/>
      <c r="BQ225" s="26"/>
      <c r="BR225" s="26"/>
      <c r="BS225" s="26"/>
      <c r="BT225" s="26"/>
      <c r="BU225" s="26"/>
      <c r="BV225" s="26"/>
      <c r="BW225" s="26"/>
      <c r="BX225" s="26"/>
      <c r="BY225" s="26"/>
      <c r="BZ225" s="26"/>
      <c r="CA225" s="26"/>
      <c r="CB225" s="26"/>
      <c r="CC225" s="26"/>
      <c r="CD225" s="26"/>
      <c r="CE225" s="26"/>
      <c r="CF225" s="26"/>
      <c r="CG225" s="26"/>
      <c r="CH225" s="26"/>
      <c r="CI225" s="26"/>
      <c r="CJ225" s="26"/>
      <c r="CK225" s="26"/>
      <c r="CL225" s="26"/>
      <c r="CM225" s="26"/>
      <c r="CN225" s="26"/>
      <c r="CO225" s="26"/>
      <c r="CP225" s="26"/>
      <c r="CQ225" s="26"/>
      <c r="CR225" s="26"/>
      <c r="CS225" s="26"/>
      <c r="CT225" s="26"/>
      <c r="CU225" s="26"/>
      <c r="CV225" s="26"/>
      <c r="CW225" s="26"/>
      <c r="CX225" s="26"/>
      <c r="CY225" s="26"/>
      <c r="CZ225" s="26"/>
      <c r="DA225" s="26"/>
      <c r="DB225" s="26"/>
      <c r="DC225" s="26"/>
      <c r="DD225" s="26"/>
    </row>
    <row r="226" spans="59:108" x14ac:dyDescent="0.2">
      <c r="BG226" s="26"/>
      <c r="BH226" s="26"/>
      <c r="BI226" s="26"/>
      <c r="BJ226" s="26"/>
      <c r="BK226" s="26"/>
      <c r="BL226" s="26"/>
      <c r="BM226" s="26"/>
      <c r="BN226" s="26"/>
      <c r="BO226" s="26"/>
      <c r="BP226" s="26"/>
      <c r="BQ226" s="26"/>
      <c r="BR226" s="26"/>
      <c r="BS226" s="26"/>
      <c r="BT226" s="26"/>
      <c r="BU226" s="26"/>
      <c r="BV226" s="26"/>
      <c r="BW226" s="26"/>
      <c r="BX226" s="26"/>
      <c r="BY226" s="26"/>
      <c r="BZ226" s="26"/>
      <c r="CA226" s="26"/>
      <c r="CB226" s="26"/>
      <c r="CC226" s="26"/>
      <c r="CD226" s="26"/>
      <c r="CE226" s="26"/>
      <c r="CF226" s="26"/>
      <c r="CG226" s="26"/>
      <c r="CH226" s="26"/>
      <c r="CI226" s="26"/>
      <c r="CJ226" s="26"/>
      <c r="CK226" s="26"/>
      <c r="CL226" s="26"/>
      <c r="CM226" s="26"/>
      <c r="CN226" s="26"/>
      <c r="CO226" s="26"/>
      <c r="CP226" s="26"/>
      <c r="CQ226" s="26"/>
      <c r="CR226" s="26"/>
      <c r="CS226" s="26"/>
      <c r="CT226" s="26"/>
      <c r="CU226" s="26"/>
      <c r="CV226" s="26"/>
      <c r="CW226" s="26"/>
      <c r="CX226" s="26"/>
      <c r="CY226" s="26"/>
      <c r="CZ226" s="26"/>
      <c r="DA226" s="26"/>
      <c r="DB226" s="26"/>
      <c r="DC226" s="26"/>
      <c r="DD226" s="26"/>
    </row>
    <row r="227" spans="59:108" x14ac:dyDescent="0.2">
      <c r="BG227" s="26"/>
      <c r="BH227" s="26"/>
      <c r="BI227" s="26"/>
      <c r="BJ227" s="26"/>
      <c r="BK227" s="26"/>
      <c r="BL227" s="26"/>
      <c r="BM227" s="26"/>
      <c r="BN227" s="26"/>
      <c r="BO227" s="26"/>
      <c r="BP227" s="26"/>
      <c r="BQ227" s="26"/>
      <c r="BR227" s="26"/>
      <c r="BS227" s="26"/>
      <c r="BT227" s="26"/>
      <c r="BU227" s="26"/>
      <c r="BV227" s="26"/>
      <c r="BW227" s="26"/>
      <c r="BX227" s="26"/>
      <c r="BY227" s="26"/>
      <c r="BZ227" s="26"/>
      <c r="CA227" s="26"/>
      <c r="CB227" s="26"/>
      <c r="CC227" s="26"/>
      <c r="CD227" s="26"/>
      <c r="CE227" s="26"/>
      <c r="CF227" s="26"/>
      <c r="CG227" s="26"/>
      <c r="CH227" s="26"/>
      <c r="CI227" s="26"/>
      <c r="CJ227" s="26"/>
      <c r="CK227" s="26"/>
      <c r="CL227" s="26"/>
      <c r="CM227" s="26"/>
      <c r="CN227" s="26"/>
      <c r="CO227" s="26"/>
      <c r="CP227" s="26"/>
      <c r="CQ227" s="26"/>
      <c r="CR227" s="26"/>
      <c r="CS227" s="26"/>
      <c r="CT227" s="26"/>
      <c r="CU227" s="26"/>
      <c r="CV227" s="26"/>
      <c r="CW227" s="26"/>
      <c r="CX227" s="26"/>
      <c r="CY227" s="26"/>
      <c r="CZ227" s="26"/>
      <c r="DA227" s="26"/>
      <c r="DB227" s="26"/>
      <c r="DC227" s="26"/>
      <c r="DD227" s="26"/>
    </row>
    <row r="228" spans="59:108" x14ac:dyDescent="0.2">
      <c r="BG228" s="26"/>
      <c r="BH228" s="26"/>
      <c r="BI228" s="26"/>
      <c r="BJ228" s="26"/>
      <c r="BK228" s="26"/>
      <c r="BL228" s="26"/>
      <c r="BM228" s="26"/>
      <c r="BN228" s="26"/>
      <c r="BO228" s="26"/>
      <c r="BP228" s="26"/>
      <c r="BQ228" s="26"/>
      <c r="BR228" s="26"/>
      <c r="BS228" s="26"/>
      <c r="BT228" s="26"/>
      <c r="BU228" s="26"/>
      <c r="BV228" s="26"/>
      <c r="BW228" s="26"/>
      <c r="BX228" s="26"/>
      <c r="BY228" s="26"/>
      <c r="BZ228" s="26"/>
      <c r="CA228" s="26"/>
      <c r="CB228" s="26"/>
      <c r="CC228" s="26"/>
      <c r="CD228" s="26"/>
      <c r="CE228" s="26"/>
      <c r="CF228" s="26"/>
      <c r="CG228" s="26"/>
      <c r="CH228" s="26"/>
      <c r="CI228" s="26"/>
      <c r="CJ228" s="26"/>
      <c r="CK228" s="26"/>
      <c r="CL228" s="26"/>
      <c r="CM228" s="26"/>
      <c r="CN228" s="26"/>
      <c r="CO228" s="26"/>
      <c r="CP228" s="26"/>
      <c r="CQ228" s="26"/>
      <c r="CR228" s="26"/>
      <c r="CS228" s="26"/>
      <c r="CT228" s="26"/>
      <c r="CU228" s="26"/>
      <c r="CV228" s="26"/>
      <c r="CW228" s="26"/>
      <c r="CX228" s="26"/>
      <c r="CY228" s="26"/>
      <c r="CZ228" s="26"/>
      <c r="DA228" s="26"/>
      <c r="DB228" s="26"/>
      <c r="DC228" s="26"/>
      <c r="DD228" s="26"/>
    </row>
    <row r="229" spans="59:108" x14ac:dyDescent="0.2">
      <c r="BG229" s="26"/>
      <c r="BH229" s="26"/>
      <c r="BI229" s="26"/>
      <c r="BJ229" s="26"/>
      <c r="BK229" s="26"/>
      <c r="BL229" s="26"/>
      <c r="BM229" s="26"/>
      <c r="BN229" s="26"/>
      <c r="BO229" s="26"/>
      <c r="BP229" s="26"/>
      <c r="BQ229" s="26"/>
      <c r="BR229" s="26"/>
      <c r="BS229" s="26"/>
      <c r="BT229" s="26"/>
      <c r="BU229" s="26"/>
      <c r="BV229" s="26"/>
      <c r="BW229" s="26"/>
      <c r="BX229" s="26"/>
      <c r="BY229" s="26"/>
      <c r="BZ229" s="26"/>
      <c r="CA229" s="26"/>
      <c r="CB229" s="26"/>
      <c r="CC229" s="26"/>
      <c r="CD229" s="26"/>
      <c r="CE229" s="26"/>
      <c r="CF229" s="26"/>
      <c r="CG229" s="26"/>
      <c r="CH229" s="26"/>
      <c r="CI229" s="26"/>
      <c r="CJ229" s="26"/>
      <c r="CK229" s="26"/>
      <c r="CL229" s="26"/>
      <c r="CM229" s="26"/>
      <c r="CN229" s="26"/>
      <c r="CO229" s="26"/>
      <c r="CP229" s="26"/>
      <c r="CQ229" s="26"/>
      <c r="CR229" s="26"/>
      <c r="CS229" s="26"/>
      <c r="CT229" s="26"/>
      <c r="CU229" s="26"/>
      <c r="CV229" s="26"/>
      <c r="CW229" s="26"/>
      <c r="CX229" s="26"/>
      <c r="CY229" s="26"/>
      <c r="CZ229" s="26"/>
      <c r="DA229" s="26"/>
      <c r="DB229" s="26"/>
      <c r="DC229" s="26"/>
      <c r="DD229" s="26"/>
    </row>
    <row r="230" spans="59:108" x14ac:dyDescent="0.2">
      <c r="BG230" s="26"/>
      <c r="BH230" s="26"/>
      <c r="BI230" s="26"/>
      <c r="BJ230" s="26"/>
      <c r="BK230" s="26"/>
      <c r="BL230" s="26"/>
      <c r="BM230" s="26"/>
      <c r="BN230" s="26"/>
      <c r="BO230" s="26"/>
      <c r="BP230" s="26"/>
      <c r="BQ230" s="26"/>
      <c r="BR230" s="26"/>
      <c r="BS230" s="26"/>
      <c r="BT230" s="26"/>
      <c r="BU230" s="26"/>
      <c r="BV230" s="26"/>
      <c r="BW230" s="26"/>
      <c r="BX230" s="26"/>
      <c r="BY230" s="26"/>
      <c r="BZ230" s="26"/>
      <c r="CA230" s="26"/>
      <c r="CB230" s="26"/>
      <c r="CC230" s="26"/>
      <c r="CD230" s="26"/>
      <c r="CE230" s="26"/>
      <c r="CF230" s="26"/>
      <c r="CG230" s="26"/>
      <c r="CH230" s="26"/>
      <c r="CI230" s="26"/>
      <c r="CJ230" s="26"/>
      <c r="CK230" s="26"/>
      <c r="CL230" s="26"/>
      <c r="CM230" s="26"/>
      <c r="CN230" s="26"/>
      <c r="CO230" s="26"/>
      <c r="CP230" s="26"/>
      <c r="CQ230" s="26"/>
      <c r="CR230" s="26"/>
      <c r="CS230" s="26"/>
      <c r="CT230" s="26"/>
      <c r="CU230" s="26"/>
      <c r="CV230" s="26"/>
      <c r="CW230" s="26"/>
      <c r="CX230" s="26"/>
      <c r="CY230" s="26"/>
      <c r="CZ230" s="26"/>
      <c r="DA230" s="26"/>
      <c r="DB230" s="26"/>
      <c r="DC230" s="26"/>
      <c r="DD230" s="26"/>
    </row>
    <row r="231" spans="59:108" x14ac:dyDescent="0.2">
      <c r="BG231" s="26"/>
      <c r="BH231" s="26"/>
      <c r="BI231" s="26"/>
      <c r="BJ231" s="26"/>
      <c r="BK231" s="26"/>
      <c r="BL231" s="26"/>
      <c r="BM231" s="26"/>
      <c r="BN231" s="26"/>
      <c r="BO231" s="26"/>
      <c r="BP231" s="26"/>
      <c r="BQ231" s="26"/>
      <c r="BR231" s="26"/>
      <c r="BS231" s="26"/>
      <c r="BT231" s="26"/>
      <c r="BU231" s="26"/>
      <c r="BV231" s="26"/>
      <c r="BW231" s="26"/>
      <c r="BX231" s="26"/>
      <c r="BY231" s="26"/>
      <c r="BZ231" s="26"/>
      <c r="CA231" s="26"/>
      <c r="CB231" s="26"/>
      <c r="CC231" s="26"/>
      <c r="CD231" s="26"/>
      <c r="CE231" s="26"/>
      <c r="CF231" s="26"/>
      <c r="CG231" s="26"/>
      <c r="CH231" s="26"/>
      <c r="CI231" s="26"/>
      <c r="CJ231" s="26"/>
      <c r="CK231" s="26"/>
      <c r="CL231" s="26"/>
      <c r="CM231" s="26"/>
      <c r="CN231" s="26"/>
      <c r="CO231" s="26"/>
      <c r="CP231" s="26"/>
      <c r="CQ231" s="26"/>
      <c r="CR231" s="26"/>
      <c r="CS231" s="26"/>
      <c r="CT231" s="26"/>
      <c r="CU231" s="26"/>
      <c r="CV231" s="26"/>
      <c r="CW231" s="26"/>
      <c r="CX231" s="26"/>
      <c r="CY231" s="26"/>
      <c r="CZ231" s="26"/>
      <c r="DA231" s="26"/>
      <c r="DB231" s="26"/>
      <c r="DC231" s="26"/>
      <c r="DD231" s="26"/>
    </row>
    <row r="232" spans="59:108" x14ac:dyDescent="0.2">
      <c r="BG232" s="26"/>
      <c r="BH232" s="26"/>
      <c r="BI232" s="26"/>
      <c r="BJ232" s="26"/>
      <c r="BK232" s="26"/>
      <c r="BL232" s="26"/>
      <c r="BM232" s="26"/>
      <c r="BN232" s="26"/>
      <c r="BO232" s="26"/>
      <c r="BP232" s="26"/>
      <c r="BQ232" s="26"/>
      <c r="BR232" s="26"/>
      <c r="BS232" s="26"/>
      <c r="BT232" s="26"/>
      <c r="BU232" s="26"/>
      <c r="BV232" s="26"/>
      <c r="BW232" s="26"/>
      <c r="BX232" s="26"/>
      <c r="BY232" s="26"/>
      <c r="BZ232" s="26"/>
      <c r="CA232" s="26"/>
      <c r="CB232" s="26"/>
      <c r="CC232" s="26"/>
      <c r="CD232" s="26"/>
      <c r="CE232" s="26"/>
      <c r="CF232" s="26"/>
      <c r="CG232" s="26"/>
      <c r="CH232" s="26"/>
      <c r="CI232" s="26"/>
      <c r="CJ232" s="26"/>
      <c r="CK232" s="26"/>
      <c r="CL232" s="26"/>
      <c r="CM232" s="26"/>
      <c r="CN232" s="26"/>
      <c r="CO232" s="26"/>
      <c r="CP232" s="26"/>
      <c r="CQ232" s="26"/>
      <c r="CR232" s="26"/>
      <c r="CS232" s="26"/>
      <c r="CT232" s="26"/>
      <c r="CU232" s="26"/>
      <c r="CV232" s="26"/>
      <c r="CW232" s="26"/>
      <c r="CX232" s="26"/>
      <c r="CY232" s="26"/>
      <c r="CZ232" s="26"/>
      <c r="DA232" s="26"/>
      <c r="DB232" s="26"/>
      <c r="DC232" s="26"/>
      <c r="DD232" s="26"/>
    </row>
    <row r="233" spans="59:108" x14ac:dyDescent="0.2">
      <c r="BG233" s="26"/>
      <c r="BH233" s="26"/>
      <c r="BI233" s="26"/>
      <c r="BJ233" s="26"/>
      <c r="BK233" s="26"/>
      <c r="BL233" s="26"/>
      <c r="BM233" s="26"/>
      <c r="BN233" s="26"/>
      <c r="BO233" s="26"/>
      <c r="BP233" s="26"/>
      <c r="BQ233" s="26"/>
      <c r="BR233" s="26"/>
      <c r="BS233" s="26"/>
      <c r="BT233" s="26"/>
      <c r="BU233" s="26"/>
      <c r="BV233" s="26"/>
      <c r="BW233" s="26"/>
      <c r="BX233" s="26"/>
      <c r="BY233" s="26"/>
      <c r="BZ233" s="26"/>
      <c r="CA233" s="26"/>
      <c r="CB233" s="26"/>
      <c r="CC233" s="26"/>
      <c r="CD233" s="26"/>
      <c r="CE233" s="26"/>
      <c r="CF233" s="26"/>
      <c r="CG233" s="26"/>
      <c r="CH233" s="26"/>
      <c r="CI233" s="26"/>
      <c r="CJ233" s="26"/>
      <c r="CK233" s="26"/>
      <c r="CL233" s="26"/>
      <c r="CM233" s="26"/>
      <c r="CN233" s="26"/>
      <c r="CO233" s="26"/>
      <c r="CP233" s="26"/>
      <c r="CQ233" s="26"/>
      <c r="CR233" s="26"/>
      <c r="CS233" s="26"/>
      <c r="CT233" s="26"/>
      <c r="CU233" s="26"/>
      <c r="CV233" s="26"/>
      <c r="CW233" s="26"/>
      <c r="CX233" s="26"/>
      <c r="CY233" s="26"/>
      <c r="CZ233" s="26"/>
      <c r="DA233" s="26"/>
      <c r="DB233" s="26"/>
      <c r="DC233" s="26"/>
      <c r="DD233" s="26"/>
    </row>
    <row r="234" spans="59:108" x14ac:dyDescent="0.2">
      <c r="BG234" s="26"/>
      <c r="BH234" s="26"/>
      <c r="BI234" s="26"/>
      <c r="BJ234" s="26"/>
      <c r="BK234" s="26"/>
      <c r="BL234" s="26"/>
      <c r="BM234" s="26"/>
      <c r="BN234" s="26"/>
      <c r="BO234" s="26"/>
      <c r="BP234" s="26"/>
      <c r="BQ234" s="26"/>
      <c r="BR234" s="26"/>
      <c r="BS234" s="26"/>
      <c r="BT234" s="26"/>
      <c r="BU234" s="26"/>
      <c r="BV234" s="26"/>
      <c r="BW234" s="26"/>
      <c r="BX234" s="26"/>
      <c r="BY234" s="26"/>
      <c r="BZ234" s="26"/>
      <c r="CA234" s="26"/>
      <c r="CB234" s="26"/>
      <c r="CC234" s="26"/>
      <c r="CD234" s="26"/>
      <c r="CE234" s="26"/>
      <c r="CF234" s="26"/>
      <c r="CG234" s="26"/>
      <c r="CH234" s="26"/>
      <c r="CI234" s="26"/>
      <c r="CJ234" s="26"/>
      <c r="CK234" s="26"/>
      <c r="CL234" s="26"/>
      <c r="CM234" s="26"/>
      <c r="CN234" s="26"/>
      <c r="CO234" s="26"/>
      <c r="CP234" s="26"/>
      <c r="CQ234" s="26"/>
      <c r="CR234" s="26"/>
      <c r="CS234" s="26"/>
      <c r="CT234" s="26"/>
      <c r="CU234" s="26"/>
      <c r="CV234" s="26"/>
      <c r="CW234" s="26"/>
      <c r="CX234" s="26"/>
      <c r="CY234" s="26"/>
      <c r="CZ234" s="26"/>
      <c r="DA234" s="26"/>
      <c r="DB234" s="26"/>
      <c r="DC234" s="26"/>
      <c r="DD234" s="26"/>
    </row>
    <row r="235" spans="59:108" x14ac:dyDescent="0.2">
      <c r="BG235" s="26"/>
      <c r="BH235" s="26"/>
      <c r="BI235" s="26"/>
      <c r="BJ235" s="26"/>
      <c r="BK235" s="26"/>
      <c r="BL235" s="26"/>
      <c r="BM235" s="26"/>
      <c r="BN235" s="26"/>
      <c r="BO235" s="26"/>
      <c r="BP235" s="26"/>
      <c r="BQ235" s="26"/>
      <c r="BR235" s="26"/>
      <c r="BS235" s="26"/>
      <c r="BT235" s="26"/>
      <c r="BU235" s="26"/>
      <c r="BV235" s="26"/>
      <c r="BW235" s="26"/>
      <c r="BX235" s="26"/>
      <c r="BY235" s="26"/>
      <c r="BZ235" s="26"/>
      <c r="CA235" s="26"/>
      <c r="CB235" s="26"/>
      <c r="CC235" s="26"/>
      <c r="CD235" s="26"/>
      <c r="CE235" s="26"/>
      <c r="CF235" s="26"/>
      <c r="CG235" s="26"/>
      <c r="CH235" s="26"/>
      <c r="CI235" s="26"/>
      <c r="CJ235" s="26"/>
      <c r="CK235" s="26"/>
      <c r="CL235" s="26"/>
      <c r="CM235" s="26"/>
      <c r="CN235" s="26"/>
      <c r="CO235" s="26"/>
      <c r="CP235" s="26"/>
      <c r="CQ235" s="26"/>
      <c r="CR235" s="26"/>
      <c r="CS235" s="26"/>
      <c r="CT235" s="26"/>
      <c r="CU235" s="26"/>
      <c r="CV235" s="26"/>
      <c r="CW235" s="26"/>
      <c r="CX235" s="26"/>
      <c r="CY235" s="26"/>
      <c r="CZ235" s="26"/>
      <c r="DA235" s="26"/>
      <c r="DB235" s="26"/>
      <c r="DC235" s="26"/>
      <c r="DD235" s="26"/>
    </row>
    <row r="236" spans="59:108" x14ac:dyDescent="0.2">
      <c r="BG236" s="26"/>
      <c r="BH236" s="26"/>
      <c r="BI236" s="26"/>
      <c r="BJ236" s="26"/>
      <c r="BK236" s="26"/>
      <c r="BL236" s="26"/>
      <c r="BM236" s="26"/>
      <c r="BN236" s="26"/>
      <c r="BO236" s="26"/>
      <c r="BP236" s="26"/>
      <c r="BQ236" s="26"/>
      <c r="BR236" s="26"/>
      <c r="BS236" s="26"/>
      <c r="BT236" s="26"/>
      <c r="BU236" s="26"/>
      <c r="BV236" s="26"/>
      <c r="BW236" s="26"/>
      <c r="BX236" s="26"/>
      <c r="BY236" s="26"/>
      <c r="BZ236" s="26"/>
      <c r="CA236" s="26"/>
      <c r="CB236" s="26"/>
      <c r="CC236" s="26"/>
      <c r="CD236" s="26"/>
      <c r="CE236" s="26"/>
      <c r="CF236" s="26"/>
      <c r="CG236" s="26"/>
      <c r="CH236" s="26"/>
      <c r="CI236" s="26"/>
      <c r="CJ236" s="26"/>
      <c r="CK236" s="26"/>
      <c r="CL236" s="26"/>
      <c r="CM236" s="26"/>
      <c r="CN236" s="26"/>
      <c r="CO236" s="26"/>
      <c r="CP236" s="26"/>
      <c r="CQ236" s="26"/>
      <c r="CR236" s="26"/>
      <c r="CS236" s="26"/>
      <c r="CT236" s="26"/>
      <c r="CU236" s="26"/>
      <c r="CV236" s="26"/>
      <c r="CW236" s="26"/>
      <c r="CX236" s="26"/>
      <c r="CY236" s="26"/>
      <c r="CZ236" s="26"/>
      <c r="DA236" s="26"/>
      <c r="DB236" s="26"/>
      <c r="DC236" s="26"/>
      <c r="DD236" s="26"/>
    </row>
    <row r="237" spans="59:108" x14ac:dyDescent="0.2">
      <c r="BG237" s="26"/>
      <c r="BH237" s="26"/>
      <c r="BI237" s="26"/>
      <c r="BJ237" s="26"/>
      <c r="BK237" s="26"/>
      <c r="BL237" s="26"/>
      <c r="BM237" s="26"/>
      <c r="BN237" s="26"/>
      <c r="BO237" s="26"/>
      <c r="BP237" s="26"/>
      <c r="BQ237" s="26"/>
      <c r="BR237" s="26"/>
      <c r="BS237" s="26"/>
      <c r="BT237" s="26"/>
      <c r="BU237" s="26"/>
      <c r="BV237" s="26"/>
      <c r="BW237" s="26"/>
      <c r="BX237" s="26"/>
      <c r="BY237" s="26"/>
      <c r="BZ237" s="26"/>
      <c r="CA237" s="26"/>
      <c r="CB237" s="26"/>
      <c r="CC237" s="26"/>
      <c r="CD237" s="26"/>
      <c r="CE237" s="26"/>
      <c r="CF237" s="26"/>
      <c r="CG237" s="26"/>
      <c r="CH237" s="26"/>
      <c r="CI237" s="26"/>
      <c r="CJ237" s="26"/>
      <c r="CK237" s="26"/>
      <c r="CL237" s="26"/>
      <c r="CM237" s="26"/>
      <c r="CN237" s="26"/>
      <c r="CO237" s="26"/>
      <c r="CP237" s="26"/>
      <c r="CQ237" s="26"/>
      <c r="CR237" s="26"/>
      <c r="CS237" s="26"/>
      <c r="CT237" s="26"/>
      <c r="CU237" s="26"/>
      <c r="CV237" s="26"/>
      <c r="CW237" s="26"/>
      <c r="CX237" s="26"/>
      <c r="CY237" s="26"/>
      <c r="CZ237" s="26"/>
      <c r="DA237" s="26"/>
      <c r="DB237" s="26"/>
      <c r="DC237" s="26"/>
      <c r="DD237" s="26"/>
    </row>
    <row r="238" spans="59:108" x14ac:dyDescent="0.2">
      <c r="BG238" s="26"/>
      <c r="BH238" s="26"/>
      <c r="BI238" s="26"/>
      <c r="BJ238" s="26"/>
      <c r="BK238" s="26"/>
      <c r="BL238" s="26"/>
      <c r="BM238" s="26"/>
      <c r="BN238" s="26"/>
      <c r="BO238" s="26"/>
      <c r="BP238" s="26"/>
      <c r="BQ238" s="26"/>
      <c r="BR238" s="26"/>
      <c r="BS238" s="26"/>
      <c r="BT238" s="26"/>
      <c r="BU238" s="26"/>
      <c r="BV238" s="26"/>
      <c r="BW238" s="26"/>
      <c r="BX238" s="26"/>
      <c r="BY238" s="26"/>
      <c r="BZ238" s="26"/>
      <c r="CA238" s="26"/>
      <c r="CB238" s="26"/>
      <c r="CC238" s="26"/>
      <c r="CD238" s="26"/>
      <c r="CE238" s="26"/>
      <c r="CF238" s="26"/>
      <c r="CG238" s="26"/>
      <c r="CH238" s="26"/>
      <c r="CI238" s="26"/>
      <c r="CJ238" s="26"/>
      <c r="CK238" s="26"/>
      <c r="CL238" s="26"/>
      <c r="CM238" s="26"/>
      <c r="CN238" s="26"/>
      <c r="CO238" s="26"/>
      <c r="CP238" s="26"/>
      <c r="CQ238" s="26"/>
      <c r="CR238" s="26"/>
      <c r="CS238" s="26"/>
      <c r="CT238" s="26"/>
      <c r="CU238" s="26"/>
      <c r="CV238" s="26"/>
      <c r="CW238" s="26"/>
      <c r="CX238" s="26"/>
      <c r="CY238" s="26"/>
      <c r="CZ238" s="26"/>
      <c r="DA238" s="26"/>
      <c r="DB238" s="26"/>
      <c r="DC238" s="26"/>
      <c r="DD238" s="26"/>
    </row>
    <row r="239" spans="59:108" x14ac:dyDescent="0.2">
      <c r="BG239" s="26"/>
      <c r="BH239" s="26"/>
      <c r="BI239" s="26"/>
      <c r="BJ239" s="26"/>
      <c r="BK239" s="26"/>
      <c r="BL239" s="26"/>
      <c r="BM239" s="26"/>
      <c r="BN239" s="26"/>
      <c r="BO239" s="26"/>
      <c r="BP239" s="26"/>
      <c r="BQ239" s="26"/>
      <c r="BR239" s="26"/>
      <c r="BS239" s="26"/>
      <c r="BT239" s="26"/>
      <c r="BU239" s="26"/>
      <c r="BV239" s="26"/>
      <c r="BW239" s="26"/>
      <c r="BX239" s="26"/>
      <c r="BY239" s="26"/>
      <c r="BZ239" s="26"/>
      <c r="CA239" s="26"/>
      <c r="CB239" s="26"/>
      <c r="CC239" s="26"/>
      <c r="CD239" s="26"/>
      <c r="CE239" s="26"/>
      <c r="CF239" s="26"/>
      <c r="CG239" s="26"/>
      <c r="CH239" s="26"/>
      <c r="CI239" s="26"/>
      <c r="CJ239" s="26"/>
      <c r="CK239" s="26"/>
      <c r="CL239" s="26"/>
      <c r="CM239" s="26"/>
      <c r="CN239" s="26"/>
      <c r="CO239" s="26"/>
      <c r="CP239" s="26"/>
      <c r="CQ239" s="26"/>
      <c r="CR239" s="26"/>
      <c r="CS239" s="26"/>
      <c r="CT239" s="26"/>
      <c r="CU239" s="26"/>
      <c r="CV239" s="26"/>
      <c r="CW239" s="26"/>
      <c r="CX239" s="26"/>
      <c r="CY239" s="26"/>
      <c r="CZ239" s="26"/>
      <c r="DA239" s="26"/>
      <c r="DB239" s="26"/>
      <c r="DC239" s="26"/>
      <c r="DD239" s="26"/>
    </row>
    <row r="240" spans="59:108" x14ac:dyDescent="0.2">
      <c r="BG240" s="26"/>
      <c r="BH240" s="26"/>
      <c r="BI240" s="26"/>
      <c r="BJ240" s="26"/>
      <c r="BK240" s="26"/>
      <c r="BL240" s="26"/>
      <c r="BM240" s="26"/>
      <c r="BN240" s="26"/>
      <c r="BO240" s="26"/>
      <c r="BP240" s="26"/>
      <c r="BQ240" s="26"/>
      <c r="BR240" s="26"/>
      <c r="BS240" s="26"/>
      <c r="BT240" s="26"/>
      <c r="BU240" s="26"/>
      <c r="BV240" s="26"/>
      <c r="BW240" s="26"/>
      <c r="BX240" s="26"/>
      <c r="BY240" s="26"/>
      <c r="BZ240" s="26"/>
      <c r="CA240" s="26"/>
      <c r="CB240" s="26"/>
      <c r="CC240" s="26"/>
      <c r="CD240" s="26"/>
      <c r="CE240" s="26"/>
      <c r="CF240" s="26"/>
      <c r="CG240" s="26"/>
      <c r="CH240" s="26"/>
      <c r="CI240" s="26"/>
      <c r="CJ240" s="26"/>
      <c r="CK240" s="26"/>
      <c r="CL240" s="26"/>
      <c r="CM240" s="26"/>
      <c r="CN240" s="26"/>
      <c r="CO240" s="26"/>
      <c r="CP240" s="26"/>
      <c r="CQ240" s="26"/>
      <c r="CR240" s="26"/>
      <c r="CS240" s="26"/>
      <c r="CT240" s="26"/>
      <c r="CU240" s="26"/>
      <c r="CV240" s="26"/>
      <c r="CW240" s="26"/>
      <c r="CX240" s="26"/>
      <c r="CY240" s="26"/>
      <c r="CZ240" s="26"/>
      <c r="DA240" s="26"/>
      <c r="DB240" s="26"/>
      <c r="DC240" s="26"/>
      <c r="DD240" s="26"/>
    </row>
    <row r="241" spans="59:108" x14ac:dyDescent="0.2">
      <c r="BG241" s="26"/>
      <c r="BH241" s="26"/>
      <c r="BI241" s="26"/>
      <c r="BJ241" s="26"/>
      <c r="BK241" s="26"/>
      <c r="BL241" s="26"/>
      <c r="BM241" s="26"/>
      <c r="BN241" s="26"/>
      <c r="BO241" s="26"/>
      <c r="BP241" s="26"/>
      <c r="BQ241" s="26"/>
      <c r="BR241" s="26"/>
      <c r="BS241" s="26"/>
      <c r="BT241" s="26"/>
      <c r="BU241" s="26"/>
      <c r="BV241" s="26"/>
      <c r="BW241" s="26"/>
      <c r="BX241" s="26"/>
      <c r="BY241" s="26"/>
      <c r="BZ241" s="26"/>
      <c r="CA241" s="26"/>
      <c r="CB241" s="26"/>
      <c r="CC241" s="26"/>
      <c r="CD241" s="26"/>
      <c r="CE241" s="26"/>
      <c r="CF241" s="26"/>
      <c r="CG241" s="26"/>
      <c r="CH241" s="26"/>
      <c r="CI241" s="26"/>
      <c r="CJ241" s="26"/>
      <c r="CK241" s="26"/>
      <c r="CL241" s="26"/>
      <c r="CM241" s="26"/>
      <c r="CN241" s="26"/>
      <c r="CO241" s="26"/>
      <c r="CP241" s="26"/>
      <c r="CQ241" s="26"/>
      <c r="CR241" s="26"/>
      <c r="CS241" s="26"/>
      <c r="CT241" s="26"/>
      <c r="CU241" s="26"/>
      <c r="CV241" s="26"/>
      <c r="CW241" s="26"/>
      <c r="CX241" s="26"/>
      <c r="CY241" s="26"/>
      <c r="CZ241" s="26"/>
      <c r="DA241" s="26"/>
      <c r="DB241" s="26"/>
      <c r="DC241" s="26"/>
      <c r="DD241" s="26"/>
    </row>
    <row r="242" spans="59:108" x14ac:dyDescent="0.2">
      <c r="BG242" s="26"/>
      <c r="BH242" s="26"/>
      <c r="BI242" s="26"/>
      <c r="BJ242" s="26"/>
      <c r="BK242" s="26"/>
      <c r="BL242" s="26"/>
      <c r="BM242" s="26"/>
      <c r="BN242" s="26"/>
      <c r="BO242" s="26"/>
      <c r="BP242" s="26"/>
      <c r="BQ242" s="26"/>
      <c r="BR242" s="26"/>
      <c r="BS242" s="26"/>
      <c r="BT242" s="26"/>
      <c r="BU242" s="26"/>
      <c r="BV242" s="26"/>
      <c r="BW242" s="26"/>
      <c r="BX242" s="26"/>
      <c r="BY242" s="26"/>
      <c r="BZ242" s="26"/>
      <c r="CA242" s="26"/>
      <c r="CB242" s="26"/>
      <c r="CC242" s="26"/>
      <c r="CD242" s="26"/>
      <c r="CE242" s="26"/>
      <c r="CF242" s="26"/>
      <c r="CG242" s="26"/>
      <c r="CH242" s="26"/>
      <c r="CI242" s="26"/>
      <c r="CJ242" s="26"/>
      <c r="CK242" s="26"/>
      <c r="CL242" s="26"/>
      <c r="CM242" s="26"/>
      <c r="CN242" s="26"/>
      <c r="CO242" s="26"/>
      <c r="CP242" s="26"/>
      <c r="CQ242" s="26"/>
      <c r="CR242" s="26"/>
      <c r="CS242" s="26"/>
      <c r="CT242" s="26"/>
      <c r="CU242" s="26"/>
      <c r="CV242" s="26"/>
      <c r="CW242" s="26"/>
      <c r="CX242" s="26"/>
      <c r="CY242" s="26"/>
      <c r="CZ242" s="26"/>
      <c r="DA242" s="26"/>
      <c r="DB242" s="26"/>
      <c r="DC242" s="26"/>
      <c r="DD242" s="26"/>
    </row>
    <row r="243" spans="59:108" x14ac:dyDescent="0.2">
      <c r="BG243" s="26"/>
      <c r="BH243" s="26"/>
      <c r="BI243" s="26"/>
      <c r="BJ243" s="26"/>
      <c r="BK243" s="26"/>
      <c r="BL243" s="26"/>
      <c r="BM243" s="26"/>
      <c r="BN243" s="26"/>
      <c r="BO243" s="26"/>
      <c r="BP243" s="26"/>
      <c r="BQ243" s="26"/>
      <c r="BR243" s="26"/>
      <c r="BS243" s="26"/>
      <c r="BT243" s="26"/>
      <c r="BU243" s="26"/>
      <c r="BV243" s="26"/>
      <c r="BW243" s="26"/>
      <c r="BX243" s="26"/>
      <c r="BY243" s="26"/>
      <c r="BZ243" s="26"/>
      <c r="CA243" s="26"/>
      <c r="CB243" s="26"/>
      <c r="CC243" s="26"/>
      <c r="CD243" s="26"/>
      <c r="CE243" s="26"/>
      <c r="CF243" s="26"/>
      <c r="CG243" s="26"/>
      <c r="CH243" s="26"/>
      <c r="CI243" s="26"/>
      <c r="CJ243" s="26"/>
      <c r="CK243" s="26"/>
      <c r="CL243" s="26"/>
      <c r="CM243" s="26"/>
      <c r="CN243" s="26"/>
      <c r="CO243" s="26"/>
      <c r="CP243" s="26"/>
      <c r="CQ243" s="26"/>
      <c r="CR243" s="26"/>
      <c r="CS243" s="26"/>
      <c r="CT243" s="26"/>
      <c r="CU243" s="26"/>
      <c r="CV243" s="26"/>
      <c r="CW243" s="26"/>
      <c r="CX243" s="26"/>
      <c r="CY243" s="26"/>
      <c r="CZ243" s="26"/>
      <c r="DA243" s="26"/>
      <c r="DB243" s="26"/>
      <c r="DC243" s="26"/>
      <c r="DD243" s="26"/>
    </row>
    <row r="244" spans="59:108" x14ac:dyDescent="0.2">
      <c r="BG244" s="26"/>
      <c r="BH244" s="26"/>
      <c r="BI244" s="26"/>
      <c r="BJ244" s="26"/>
      <c r="BK244" s="26"/>
      <c r="BL244" s="26"/>
      <c r="BM244" s="26"/>
      <c r="BN244" s="26"/>
      <c r="BO244" s="26"/>
      <c r="BP244" s="26"/>
      <c r="BQ244" s="26"/>
      <c r="BR244" s="26"/>
      <c r="BS244" s="26"/>
      <c r="BT244" s="26"/>
      <c r="BU244" s="26"/>
      <c r="BV244" s="26"/>
      <c r="BW244" s="26"/>
      <c r="BX244" s="26"/>
      <c r="BY244" s="26"/>
      <c r="BZ244" s="26"/>
      <c r="CA244" s="26"/>
      <c r="CB244" s="26"/>
      <c r="CC244" s="26"/>
      <c r="CD244" s="26"/>
      <c r="CE244" s="26"/>
      <c r="CF244" s="26"/>
      <c r="CG244" s="26"/>
      <c r="CH244" s="26"/>
      <c r="CI244" s="26"/>
      <c r="CJ244" s="26"/>
      <c r="CK244" s="26"/>
      <c r="CL244" s="26"/>
      <c r="CM244" s="26"/>
      <c r="CN244" s="26"/>
      <c r="CO244" s="26"/>
      <c r="CP244" s="26"/>
      <c r="CQ244" s="26"/>
      <c r="CR244" s="26"/>
      <c r="CS244" s="26"/>
      <c r="CT244" s="26"/>
      <c r="CU244" s="26"/>
      <c r="CV244" s="26"/>
      <c r="CW244" s="26"/>
      <c r="CX244" s="26"/>
      <c r="CY244" s="26"/>
      <c r="CZ244" s="26"/>
      <c r="DA244" s="26"/>
      <c r="DB244" s="26"/>
      <c r="DC244" s="26"/>
      <c r="DD244" s="26"/>
    </row>
    <row r="245" spans="59:108" x14ac:dyDescent="0.2">
      <c r="BG245" s="26"/>
      <c r="BH245" s="26"/>
      <c r="BI245" s="26"/>
      <c r="BJ245" s="26"/>
      <c r="BK245" s="26"/>
      <c r="BL245" s="26"/>
      <c r="BM245" s="26"/>
      <c r="BN245" s="26"/>
      <c r="BO245" s="26"/>
      <c r="BP245" s="26"/>
      <c r="BQ245" s="26"/>
      <c r="BR245" s="26"/>
      <c r="BS245" s="26"/>
      <c r="BT245" s="26"/>
      <c r="BU245" s="26"/>
      <c r="BV245" s="26"/>
      <c r="BW245" s="26"/>
      <c r="BX245" s="26"/>
      <c r="BY245" s="26"/>
      <c r="BZ245" s="26"/>
      <c r="CA245" s="26"/>
      <c r="CB245" s="26"/>
      <c r="CC245" s="26"/>
      <c r="CD245" s="26"/>
      <c r="CE245" s="26"/>
      <c r="CF245" s="26"/>
      <c r="CG245" s="26"/>
      <c r="CH245" s="26"/>
      <c r="CI245" s="26"/>
      <c r="CJ245" s="26"/>
      <c r="CK245" s="26"/>
      <c r="CL245" s="26"/>
      <c r="CM245" s="26"/>
      <c r="CN245" s="26"/>
      <c r="CO245" s="26"/>
      <c r="CP245" s="26"/>
      <c r="CQ245" s="26"/>
      <c r="CR245" s="26"/>
      <c r="CS245" s="26"/>
      <c r="CT245" s="26"/>
      <c r="CU245" s="26"/>
      <c r="CV245" s="26"/>
      <c r="CW245" s="26"/>
      <c r="CX245" s="26"/>
      <c r="CY245" s="26"/>
      <c r="CZ245" s="26"/>
      <c r="DA245" s="26"/>
      <c r="DB245" s="26"/>
      <c r="DC245" s="26"/>
      <c r="DD245" s="26"/>
    </row>
    <row r="246" spans="59:108" x14ac:dyDescent="0.2">
      <c r="BG246" s="26"/>
      <c r="BH246" s="26"/>
      <c r="BI246" s="26"/>
      <c r="BJ246" s="26"/>
      <c r="BK246" s="26"/>
      <c r="BL246" s="26"/>
      <c r="BM246" s="26"/>
      <c r="BN246" s="26"/>
      <c r="BO246" s="26"/>
      <c r="BP246" s="26"/>
      <c r="BQ246" s="26"/>
      <c r="BR246" s="26"/>
      <c r="BS246" s="26"/>
      <c r="BT246" s="26"/>
      <c r="BU246" s="26"/>
      <c r="BV246" s="26"/>
      <c r="BW246" s="26"/>
      <c r="BX246" s="26"/>
      <c r="BY246" s="26"/>
      <c r="BZ246" s="26"/>
      <c r="CA246" s="26"/>
      <c r="CB246" s="26"/>
      <c r="CC246" s="26"/>
      <c r="CD246" s="26"/>
      <c r="CE246" s="26"/>
      <c r="CF246" s="26"/>
      <c r="CG246" s="26"/>
      <c r="CH246" s="26"/>
      <c r="CI246" s="26"/>
      <c r="CJ246" s="26"/>
      <c r="CK246" s="26"/>
      <c r="CL246" s="26"/>
      <c r="CM246" s="26"/>
      <c r="CN246" s="26"/>
      <c r="CO246" s="26"/>
      <c r="CP246" s="26"/>
      <c r="CQ246" s="26"/>
      <c r="CR246" s="26"/>
      <c r="CS246" s="26"/>
      <c r="CT246" s="26"/>
      <c r="CU246" s="26"/>
      <c r="CV246" s="26"/>
      <c r="CW246" s="26"/>
      <c r="CX246" s="26"/>
      <c r="CY246" s="26"/>
      <c r="CZ246" s="26"/>
      <c r="DA246" s="26"/>
      <c r="DB246" s="26"/>
      <c r="DC246" s="26"/>
      <c r="DD246" s="26"/>
    </row>
    <row r="247" spans="59:108" x14ac:dyDescent="0.2">
      <c r="BG247" s="26"/>
      <c r="BH247" s="26"/>
      <c r="BI247" s="26"/>
      <c r="BJ247" s="26"/>
      <c r="BK247" s="26"/>
      <c r="BL247" s="26"/>
      <c r="BM247" s="26"/>
      <c r="BN247" s="26"/>
      <c r="BO247" s="26"/>
      <c r="BP247" s="26"/>
      <c r="BQ247" s="26"/>
      <c r="BR247" s="26"/>
      <c r="BS247" s="26"/>
      <c r="BT247" s="26"/>
      <c r="BU247" s="26"/>
      <c r="BV247" s="26"/>
      <c r="BW247" s="26"/>
      <c r="BX247" s="26"/>
      <c r="BY247" s="26"/>
      <c r="BZ247" s="26"/>
      <c r="CA247" s="26"/>
      <c r="CB247" s="26"/>
      <c r="CC247" s="26"/>
      <c r="CD247" s="26"/>
      <c r="CE247" s="26"/>
      <c r="CF247" s="26"/>
      <c r="CG247" s="26"/>
      <c r="CH247" s="26"/>
      <c r="CI247" s="26"/>
      <c r="CJ247" s="26"/>
      <c r="CK247" s="26"/>
      <c r="CL247" s="26"/>
      <c r="CM247" s="26"/>
      <c r="CN247" s="26"/>
      <c r="CO247" s="26"/>
      <c r="CP247" s="26"/>
      <c r="CQ247" s="26"/>
      <c r="CR247" s="26"/>
      <c r="CS247" s="26"/>
      <c r="CT247" s="26"/>
      <c r="CU247" s="26"/>
      <c r="CV247" s="26"/>
      <c r="CW247" s="26"/>
      <c r="CX247" s="26"/>
      <c r="CY247" s="26"/>
      <c r="CZ247" s="26"/>
      <c r="DA247" s="26"/>
      <c r="DB247" s="26"/>
      <c r="DC247" s="26"/>
      <c r="DD247" s="26"/>
    </row>
    <row r="248" spans="59:108" x14ac:dyDescent="0.2">
      <c r="BG248" s="26"/>
      <c r="BH248" s="26"/>
      <c r="BI248" s="26"/>
      <c r="BJ248" s="26"/>
      <c r="BK248" s="26"/>
      <c r="BL248" s="26"/>
      <c r="BM248" s="26"/>
      <c r="BN248" s="26"/>
      <c r="BO248" s="26"/>
      <c r="BP248" s="26"/>
      <c r="BQ248" s="26"/>
      <c r="BR248" s="26"/>
      <c r="BS248" s="26"/>
      <c r="BT248" s="26"/>
      <c r="BU248" s="26"/>
      <c r="BV248" s="26"/>
      <c r="BW248" s="26"/>
      <c r="BX248" s="26"/>
      <c r="BY248" s="26"/>
      <c r="BZ248" s="26"/>
      <c r="CA248" s="26"/>
      <c r="CB248" s="26"/>
      <c r="CC248" s="26"/>
      <c r="CD248" s="26"/>
      <c r="CE248" s="26"/>
      <c r="CF248" s="26"/>
      <c r="CG248" s="26"/>
      <c r="CH248" s="26"/>
      <c r="CI248" s="26"/>
      <c r="CJ248" s="26"/>
      <c r="CK248" s="26"/>
      <c r="CL248" s="26"/>
      <c r="CM248" s="26"/>
      <c r="CN248" s="26"/>
      <c r="CO248" s="26"/>
      <c r="CP248" s="26"/>
      <c r="CQ248" s="26"/>
      <c r="CR248" s="26"/>
      <c r="CS248" s="26"/>
      <c r="CT248" s="26"/>
      <c r="CU248" s="26"/>
      <c r="CV248" s="26"/>
      <c r="CW248" s="26"/>
      <c r="CX248" s="26"/>
      <c r="CY248" s="26"/>
      <c r="CZ248" s="26"/>
      <c r="DA248" s="26"/>
      <c r="DB248" s="26"/>
      <c r="DC248" s="26"/>
      <c r="DD248" s="26"/>
    </row>
    <row r="249" spans="59:108" x14ac:dyDescent="0.2">
      <c r="BG249" s="26"/>
      <c r="BH249" s="26"/>
      <c r="BI249" s="26"/>
      <c r="BJ249" s="26"/>
      <c r="BK249" s="26"/>
      <c r="BL249" s="26"/>
      <c r="BM249" s="26"/>
      <c r="BN249" s="26"/>
      <c r="BO249" s="26"/>
      <c r="BP249" s="26"/>
      <c r="BQ249" s="26"/>
      <c r="BR249" s="26"/>
      <c r="BS249" s="26"/>
      <c r="BT249" s="26"/>
      <c r="BU249" s="26"/>
      <c r="BV249" s="26"/>
      <c r="BW249" s="26"/>
      <c r="BX249" s="26"/>
      <c r="BY249" s="26"/>
      <c r="BZ249" s="26"/>
      <c r="CA249" s="26"/>
      <c r="CB249" s="26"/>
      <c r="CC249" s="26"/>
      <c r="CD249" s="26"/>
      <c r="CE249" s="26"/>
      <c r="CF249" s="26"/>
      <c r="CG249" s="26"/>
      <c r="CH249" s="26"/>
      <c r="CI249" s="26"/>
      <c r="CJ249" s="26"/>
      <c r="CK249" s="26"/>
      <c r="CL249" s="26"/>
      <c r="CM249" s="26"/>
      <c r="CN249" s="26"/>
      <c r="CO249" s="26"/>
      <c r="CP249" s="26"/>
      <c r="CQ249" s="26"/>
      <c r="CR249" s="26"/>
      <c r="CS249" s="26"/>
      <c r="CT249" s="26"/>
      <c r="CU249" s="26"/>
      <c r="CV249" s="26"/>
      <c r="CW249" s="26"/>
      <c r="CX249" s="26"/>
      <c r="CY249" s="26"/>
      <c r="CZ249" s="26"/>
      <c r="DA249" s="26"/>
      <c r="DB249" s="26"/>
      <c r="DC249" s="26"/>
      <c r="DD249" s="26"/>
    </row>
    <row r="250" spans="59:108" x14ac:dyDescent="0.2">
      <c r="BG250" s="26"/>
      <c r="BH250" s="26"/>
      <c r="BI250" s="26"/>
      <c r="BJ250" s="26"/>
      <c r="BK250" s="26"/>
      <c r="BL250" s="26"/>
      <c r="BM250" s="26"/>
      <c r="BN250" s="26"/>
      <c r="BO250" s="26"/>
      <c r="BP250" s="26"/>
      <c r="BQ250" s="26"/>
      <c r="BR250" s="26"/>
      <c r="BS250" s="26"/>
      <c r="BT250" s="26"/>
      <c r="BU250" s="26"/>
      <c r="BV250" s="26"/>
      <c r="BW250" s="26"/>
      <c r="BX250" s="26"/>
      <c r="BY250" s="26"/>
      <c r="BZ250" s="26"/>
      <c r="CA250" s="26"/>
      <c r="CB250" s="26"/>
      <c r="CC250" s="26"/>
      <c r="CD250" s="26"/>
      <c r="CE250" s="26"/>
      <c r="CF250" s="26"/>
      <c r="CG250" s="26"/>
      <c r="CH250" s="26"/>
      <c r="CI250" s="26"/>
      <c r="CJ250" s="26"/>
      <c r="CK250" s="26"/>
      <c r="CL250" s="26"/>
      <c r="CM250" s="26"/>
      <c r="CN250" s="26"/>
      <c r="CO250" s="26"/>
      <c r="CP250" s="26"/>
      <c r="CQ250" s="26"/>
      <c r="CR250" s="26"/>
      <c r="CS250" s="26"/>
      <c r="CT250" s="26"/>
      <c r="CU250" s="26"/>
      <c r="CV250" s="26"/>
      <c r="CW250" s="26"/>
      <c r="CX250" s="26"/>
      <c r="CY250" s="26"/>
      <c r="CZ250" s="26"/>
      <c r="DA250" s="26"/>
      <c r="DB250" s="26"/>
      <c r="DC250" s="26"/>
      <c r="DD250" s="26"/>
    </row>
    <row r="251" spans="59:108" x14ac:dyDescent="0.2">
      <c r="BG251" s="26"/>
      <c r="BH251" s="26"/>
      <c r="BI251" s="26"/>
      <c r="BJ251" s="26"/>
      <c r="BK251" s="26"/>
      <c r="BL251" s="26"/>
      <c r="BM251" s="26"/>
      <c r="BN251" s="26"/>
      <c r="BO251" s="26"/>
      <c r="BP251" s="26"/>
      <c r="BQ251" s="26"/>
      <c r="BR251" s="26"/>
      <c r="BS251" s="26"/>
      <c r="BT251" s="26"/>
      <c r="BU251" s="26"/>
      <c r="BV251" s="26"/>
      <c r="BW251" s="26"/>
      <c r="BX251" s="26"/>
      <c r="BY251" s="26"/>
      <c r="BZ251" s="26"/>
      <c r="CA251" s="26"/>
      <c r="CB251" s="26"/>
      <c r="CC251" s="26"/>
      <c r="CD251" s="26"/>
      <c r="CE251" s="26"/>
      <c r="CF251" s="26"/>
      <c r="CG251" s="26"/>
      <c r="CH251" s="26"/>
      <c r="CI251" s="26"/>
      <c r="CJ251" s="26"/>
      <c r="CK251" s="26"/>
      <c r="CL251" s="26"/>
      <c r="CM251" s="26"/>
      <c r="CN251" s="26"/>
      <c r="CO251" s="26"/>
      <c r="CP251" s="26"/>
      <c r="CQ251" s="26"/>
      <c r="CR251" s="26"/>
      <c r="CS251" s="26"/>
      <c r="CT251" s="26"/>
      <c r="CU251" s="26"/>
      <c r="CV251" s="26"/>
      <c r="CW251" s="26"/>
      <c r="CX251" s="26"/>
      <c r="CY251" s="26"/>
      <c r="CZ251" s="26"/>
      <c r="DA251" s="26"/>
      <c r="DB251" s="26"/>
      <c r="DC251" s="26"/>
      <c r="DD251" s="26"/>
    </row>
    <row r="252" spans="59:108" x14ac:dyDescent="0.2">
      <c r="BG252" s="26"/>
      <c r="BH252" s="26"/>
      <c r="BI252" s="26"/>
      <c r="BJ252" s="26"/>
      <c r="BK252" s="26"/>
      <c r="BL252" s="26"/>
      <c r="BM252" s="26"/>
      <c r="BN252" s="26"/>
      <c r="BO252" s="26"/>
      <c r="BP252" s="26"/>
      <c r="BQ252" s="26"/>
      <c r="BR252" s="26"/>
      <c r="BS252" s="26"/>
      <c r="BT252" s="26"/>
      <c r="BU252" s="26"/>
      <c r="BV252" s="26"/>
      <c r="BW252" s="26"/>
      <c r="BX252" s="26"/>
      <c r="BY252" s="26"/>
      <c r="BZ252" s="26"/>
      <c r="CA252" s="26"/>
      <c r="CB252" s="26"/>
      <c r="CC252" s="26"/>
      <c r="CD252" s="26"/>
      <c r="CE252" s="26"/>
      <c r="CF252" s="26"/>
      <c r="CG252" s="26"/>
      <c r="CH252" s="26"/>
      <c r="CI252" s="26"/>
      <c r="CJ252" s="26"/>
      <c r="CK252" s="26"/>
      <c r="CL252" s="26"/>
      <c r="CM252" s="26"/>
      <c r="CN252" s="26"/>
      <c r="CO252" s="26"/>
      <c r="CP252" s="26"/>
      <c r="CQ252" s="26"/>
      <c r="CR252" s="26"/>
      <c r="CS252" s="26"/>
      <c r="CT252" s="26"/>
      <c r="CU252" s="26"/>
      <c r="CV252" s="26"/>
      <c r="CW252" s="26"/>
      <c r="CX252" s="26"/>
      <c r="CY252" s="26"/>
      <c r="CZ252" s="26"/>
      <c r="DA252" s="26"/>
      <c r="DB252" s="26"/>
      <c r="DC252" s="26"/>
      <c r="DD252" s="26"/>
    </row>
    <row r="253" spans="59:108" x14ac:dyDescent="0.2">
      <c r="BG253" s="26"/>
      <c r="BH253" s="26"/>
      <c r="BI253" s="26"/>
      <c r="BJ253" s="26"/>
      <c r="BK253" s="26"/>
      <c r="BL253" s="26"/>
      <c r="BM253" s="26"/>
      <c r="BN253" s="26"/>
      <c r="BO253" s="26"/>
      <c r="BP253" s="26"/>
      <c r="BQ253" s="26"/>
      <c r="BR253" s="26"/>
      <c r="BS253" s="26"/>
      <c r="BT253" s="26"/>
      <c r="BU253" s="26"/>
      <c r="BV253" s="26"/>
      <c r="BW253" s="26"/>
      <c r="BX253" s="26"/>
      <c r="BY253" s="26"/>
      <c r="BZ253" s="26"/>
      <c r="CA253" s="26"/>
      <c r="CB253" s="26"/>
      <c r="CC253" s="26"/>
      <c r="CD253" s="26"/>
      <c r="CE253" s="26"/>
      <c r="CF253" s="26"/>
      <c r="CG253" s="26"/>
      <c r="CH253" s="26"/>
      <c r="CI253" s="26"/>
      <c r="CJ253" s="26"/>
      <c r="CK253" s="26"/>
      <c r="CL253" s="26"/>
      <c r="CM253" s="26"/>
      <c r="CN253" s="26"/>
      <c r="CO253" s="26"/>
      <c r="CP253" s="26"/>
      <c r="CQ253" s="26"/>
      <c r="CR253" s="26"/>
      <c r="CS253" s="26"/>
      <c r="CT253" s="26"/>
      <c r="CU253" s="26"/>
      <c r="CV253" s="26"/>
      <c r="CW253" s="26"/>
      <c r="CX253" s="26"/>
      <c r="CY253" s="26"/>
      <c r="CZ253" s="26"/>
      <c r="DA253" s="26"/>
      <c r="DB253" s="26"/>
      <c r="DC253" s="26"/>
      <c r="DD253" s="26"/>
    </row>
    <row r="254" spans="59:108" x14ac:dyDescent="0.2">
      <c r="BG254" s="26"/>
      <c r="BH254" s="26"/>
      <c r="BI254" s="26"/>
      <c r="BJ254" s="26"/>
      <c r="BK254" s="26"/>
      <c r="BL254" s="26"/>
      <c r="BM254" s="26"/>
      <c r="BN254" s="26"/>
      <c r="BO254" s="26"/>
      <c r="BP254" s="26"/>
      <c r="BQ254" s="26"/>
      <c r="BR254" s="26"/>
      <c r="BS254" s="26"/>
      <c r="BT254" s="26"/>
      <c r="BU254" s="26"/>
      <c r="BV254" s="26"/>
      <c r="BW254" s="26"/>
      <c r="BX254" s="26"/>
      <c r="BY254" s="26"/>
      <c r="BZ254" s="26"/>
      <c r="CA254" s="26"/>
      <c r="CB254" s="26"/>
      <c r="CC254" s="26"/>
      <c r="CD254" s="26"/>
      <c r="CE254" s="26"/>
      <c r="CF254" s="26"/>
      <c r="CG254" s="26"/>
      <c r="CH254" s="26"/>
      <c r="CI254" s="26"/>
      <c r="CJ254" s="26"/>
      <c r="CK254" s="26"/>
      <c r="CL254" s="26"/>
      <c r="CM254" s="26"/>
      <c r="CN254" s="26"/>
      <c r="CO254" s="26"/>
      <c r="CP254" s="26"/>
      <c r="CQ254" s="26"/>
      <c r="CR254" s="26"/>
      <c r="CS254" s="26"/>
      <c r="CT254" s="26"/>
      <c r="CU254" s="26"/>
      <c r="CV254" s="26"/>
      <c r="CW254" s="26"/>
      <c r="CX254" s="26"/>
      <c r="CY254" s="26"/>
      <c r="CZ254" s="26"/>
      <c r="DA254" s="26"/>
      <c r="DB254" s="26"/>
      <c r="DC254" s="26"/>
      <c r="DD254" s="26"/>
    </row>
    <row r="255" spans="59:108" x14ac:dyDescent="0.2">
      <c r="BG255" s="26"/>
      <c r="BH255" s="26"/>
      <c r="BI255" s="26"/>
      <c r="BJ255" s="26"/>
      <c r="BK255" s="26"/>
      <c r="BL255" s="26"/>
      <c r="BM255" s="26"/>
      <c r="BN255" s="26"/>
      <c r="BO255" s="26"/>
      <c r="BP255" s="26"/>
      <c r="BQ255" s="26"/>
      <c r="BR255" s="26"/>
      <c r="BS255" s="26"/>
      <c r="BT255" s="26"/>
      <c r="BU255" s="26"/>
      <c r="BV255" s="26"/>
      <c r="BW255" s="26"/>
      <c r="BX255" s="26"/>
      <c r="BY255" s="26"/>
      <c r="BZ255" s="26"/>
      <c r="CA255" s="26"/>
      <c r="CB255" s="26"/>
      <c r="CC255" s="26"/>
      <c r="CD255" s="26"/>
      <c r="CE255" s="26"/>
      <c r="CF255" s="26"/>
      <c r="CG255" s="26"/>
      <c r="CH255" s="26"/>
      <c r="CI255" s="26"/>
      <c r="CJ255" s="26"/>
      <c r="CK255" s="26"/>
      <c r="CL255" s="26"/>
      <c r="CM255" s="26"/>
      <c r="CN255" s="26"/>
      <c r="CO255" s="26"/>
      <c r="CP255" s="26"/>
      <c r="CQ255" s="26"/>
      <c r="CR255" s="26"/>
      <c r="CS255" s="26"/>
      <c r="CT255" s="26"/>
      <c r="CU255" s="26"/>
      <c r="CV255" s="26"/>
      <c r="CW255" s="26"/>
      <c r="CX255" s="26"/>
      <c r="CY255" s="26"/>
      <c r="CZ255" s="26"/>
      <c r="DA255" s="26"/>
      <c r="DB255" s="26"/>
      <c r="DC255" s="26"/>
      <c r="DD255" s="26"/>
    </row>
    <row r="256" spans="59:108" x14ac:dyDescent="0.2">
      <c r="BG256" s="26"/>
      <c r="BH256" s="26"/>
      <c r="BI256" s="26"/>
      <c r="BJ256" s="26"/>
      <c r="BK256" s="26"/>
      <c r="BL256" s="26"/>
      <c r="BM256" s="26"/>
      <c r="BN256" s="26"/>
      <c r="BO256" s="26"/>
      <c r="BP256" s="26"/>
      <c r="BQ256" s="26"/>
      <c r="BR256" s="26"/>
      <c r="BS256" s="26"/>
      <c r="BT256" s="26"/>
      <c r="BU256" s="26"/>
      <c r="BV256" s="26"/>
      <c r="BW256" s="26"/>
      <c r="BX256" s="26"/>
      <c r="BY256" s="26"/>
      <c r="BZ256" s="26"/>
      <c r="CA256" s="26"/>
      <c r="CB256" s="26"/>
      <c r="CC256" s="26"/>
      <c r="CD256" s="26"/>
      <c r="CE256" s="26"/>
      <c r="CF256" s="26"/>
      <c r="CG256" s="26"/>
      <c r="CH256" s="26"/>
      <c r="CI256" s="26"/>
      <c r="CJ256" s="26"/>
      <c r="CK256" s="26"/>
      <c r="CL256" s="26"/>
      <c r="CM256" s="26"/>
      <c r="CN256" s="26"/>
      <c r="CO256" s="26"/>
      <c r="CP256" s="26"/>
      <c r="CQ256" s="26"/>
      <c r="CR256" s="26"/>
      <c r="CS256" s="26"/>
      <c r="CT256" s="26"/>
      <c r="CU256" s="26"/>
      <c r="CV256" s="26"/>
      <c r="CW256" s="26"/>
      <c r="CX256" s="26"/>
      <c r="CY256" s="26"/>
      <c r="CZ256" s="26"/>
      <c r="DA256" s="26"/>
      <c r="DB256" s="26"/>
      <c r="DC256" s="26"/>
      <c r="DD256" s="26"/>
    </row>
    <row r="257" spans="59:108" x14ac:dyDescent="0.2">
      <c r="BG257" s="26"/>
      <c r="BH257" s="26"/>
      <c r="BI257" s="26"/>
      <c r="BJ257" s="26"/>
      <c r="BK257" s="26"/>
      <c r="BL257" s="26"/>
      <c r="BM257" s="26"/>
      <c r="BN257" s="26"/>
      <c r="BO257" s="26"/>
      <c r="BP257" s="26"/>
      <c r="BQ257" s="26"/>
      <c r="BR257" s="26"/>
      <c r="BS257" s="26"/>
      <c r="BT257" s="26"/>
      <c r="BU257" s="26"/>
      <c r="BV257" s="26"/>
      <c r="BW257" s="26"/>
      <c r="BX257" s="26"/>
      <c r="BY257" s="26"/>
      <c r="BZ257" s="26"/>
      <c r="CA257" s="26"/>
      <c r="CB257" s="26"/>
      <c r="CC257" s="26"/>
      <c r="CD257" s="26"/>
      <c r="CE257" s="26"/>
      <c r="CF257" s="26"/>
      <c r="CG257" s="26"/>
      <c r="CH257" s="26"/>
      <c r="CI257" s="26"/>
      <c r="CJ257" s="26"/>
      <c r="CK257" s="26"/>
      <c r="CL257" s="26"/>
      <c r="CM257" s="26"/>
      <c r="CN257" s="26"/>
      <c r="CO257" s="26"/>
      <c r="CP257" s="26"/>
      <c r="CQ257" s="26"/>
      <c r="CR257" s="26"/>
      <c r="CS257" s="26"/>
      <c r="CT257" s="26"/>
      <c r="CU257" s="26"/>
      <c r="CV257" s="26"/>
      <c r="CW257" s="26"/>
      <c r="CX257" s="26"/>
      <c r="CY257" s="26"/>
      <c r="CZ257" s="26"/>
      <c r="DA257" s="26"/>
      <c r="DB257" s="26"/>
      <c r="DC257" s="26"/>
      <c r="DD257" s="26"/>
    </row>
    <row r="258" spans="59:108" x14ac:dyDescent="0.2">
      <c r="BG258" s="26"/>
      <c r="BH258" s="26"/>
      <c r="BI258" s="26"/>
      <c r="BJ258" s="26"/>
      <c r="BK258" s="26"/>
      <c r="BL258" s="26"/>
      <c r="BM258" s="26"/>
      <c r="BN258" s="26"/>
      <c r="BO258" s="26"/>
      <c r="BP258" s="26"/>
      <c r="BQ258" s="26"/>
      <c r="BR258" s="26"/>
      <c r="BS258" s="26"/>
      <c r="BT258" s="26"/>
      <c r="BU258" s="26"/>
      <c r="BV258" s="26"/>
      <c r="BW258" s="26"/>
      <c r="BX258" s="26"/>
      <c r="BY258" s="26"/>
      <c r="BZ258" s="26"/>
      <c r="CA258" s="26"/>
      <c r="CB258" s="26"/>
      <c r="CC258" s="26"/>
      <c r="CD258" s="26"/>
      <c r="CE258" s="26"/>
      <c r="CF258" s="26"/>
      <c r="CG258" s="26"/>
      <c r="CH258" s="26"/>
      <c r="CI258" s="26"/>
      <c r="CJ258" s="26"/>
      <c r="CK258" s="26"/>
      <c r="CL258" s="26"/>
      <c r="CM258" s="26"/>
      <c r="CN258" s="26"/>
      <c r="CO258" s="26"/>
      <c r="CP258" s="26"/>
      <c r="CQ258" s="26"/>
      <c r="CR258" s="26"/>
      <c r="CS258" s="26"/>
      <c r="CT258" s="26"/>
      <c r="CU258" s="26"/>
      <c r="CV258" s="26"/>
      <c r="CW258" s="26"/>
      <c r="CX258" s="26"/>
      <c r="CY258" s="26"/>
      <c r="CZ258" s="26"/>
      <c r="DA258" s="26"/>
      <c r="DB258" s="26"/>
      <c r="DC258" s="26"/>
      <c r="DD258" s="26"/>
    </row>
    <row r="259" spans="59:108" x14ac:dyDescent="0.2">
      <c r="BG259" s="26"/>
      <c r="BH259" s="26"/>
      <c r="BI259" s="26"/>
      <c r="BJ259" s="26"/>
      <c r="BK259" s="26"/>
      <c r="BL259" s="26"/>
      <c r="BM259" s="26"/>
      <c r="BN259" s="26"/>
      <c r="BO259" s="26"/>
      <c r="BP259" s="26"/>
      <c r="BQ259" s="26"/>
      <c r="BR259" s="26"/>
      <c r="BS259" s="26"/>
      <c r="BT259" s="26"/>
      <c r="BU259" s="26"/>
      <c r="BV259" s="26"/>
      <c r="BW259" s="26"/>
      <c r="BX259" s="26"/>
      <c r="BY259" s="26"/>
      <c r="BZ259" s="26"/>
      <c r="CA259" s="26"/>
      <c r="CB259" s="26"/>
      <c r="CC259" s="26"/>
      <c r="CD259" s="26"/>
      <c r="CE259" s="26"/>
      <c r="CF259" s="26"/>
      <c r="CG259" s="26"/>
      <c r="CH259" s="26"/>
      <c r="CI259" s="26"/>
      <c r="CJ259" s="26"/>
      <c r="CK259" s="26"/>
      <c r="CL259" s="26"/>
      <c r="CM259" s="26"/>
      <c r="CN259" s="26"/>
      <c r="CO259" s="26"/>
      <c r="CP259" s="26"/>
      <c r="CQ259" s="26"/>
      <c r="CR259" s="26"/>
      <c r="CS259" s="26"/>
      <c r="CT259" s="26"/>
      <c r="CU259" s="26"/>
      <c r="CV259" s="26"/>
      <c r="CW259" s="26"/>
      <c r="CX259" s="26"/>
      <c r="CY259" s="26"/>
      <c r="CZ259" s="26"/>
      <c r="DA259" s="26"/>
      <c r="DB259" s="26"/>
      <c r="DC259" s="26"/>
      <c r="DD259" s="26"/>
    </row>
    <row r="260" spans="59:108" x14ac:dyDescent="0.2">
      <c r="BG260" s="26"/>
      <c r="BH260" s="26"/>
      <c r="BI260" s="26"/>
      <c r="BJ260" s="26"/>
      <c r="BK260" s="26"/>
      <c r="BL260" s="26"/>
      <c r="BM260" s="26"/>
      <c r="BN260" s="26"/>
      <c r="BO260" s="26"/>
      <c r="BP260" s="26"/>
      <c r="BQ260" s="26"/>
      <c r="BR260" s="26"/>
      <c r="BS260" s="26"/>
      <c r="BT260" s="26"/>
      <c r="BU260" s="26"/>
      <c r="BV260" s="26"/>
      <c r="BW260" s="26"/>
      <c r="BX260" s="26"/>
      <c r="BY260" s="26"/>
      <c r="BZ260" s="26"/>
      <c r="CA260" s="26"/>
      <c r="CB260" s="26"/>
      <c r="CC260" s="26"/>
      <c r="CD260" s="26"/>
      <c r="CE260" s="26"/>
      <c r="CF260" s="26"/>
      <c r="CG260" s="26"/>
      <c r="CH260" s="26"/>
      <c r="CI260" s="26"/>
      <c r="CJ260" s="26"/>
      <c r="CK260" s="26"/>
      <c r="CL260" s="26"/>
      <c r="CM260" s="26"/>
      <c r="CN260" s="26"/>
      <c r="CO260" s="26"/>
      <c r="CP260" s="26"/>
      <c r="CQ260" s="26"/>
      <c r="CR260" s="26"/>
      <c r="CS260" s="26"/>
      <c r="CT260" s="26"/>
      <c r="CU260" s="26"/>
      <c r="CV260" s="26"/>
      <c r="CW260" s="26"/>
      <c r="CX260" s="26"/>
      <c r="CY260" s="26"/>
      <c r="CZ260" s="26"/>
      <c r="DA260" s="26"/>
      <c r="DB260" s="26"/>
      <c r="DC260" s="26"/>
      <c r="DD260" s="26"/>
    </row>
    <row r="261" spans="59:108" x14ac:dyDescent="0.2">
      <c r="BG261" s="26"/>
      <c r="BH261" s="26"/>
      <c r="BI261" s="26"/>
      <c r="BJ261" s="26"/>
      <c r="BK261" s="26"/>
      <c r="BL261" s="26"/>
      <c r="BM261" s="26"/>
      <c r="BN261" s="26"/>
      <c r="BO261" s="26"/>
      <c r="BP261" s="26"/>
      <c r="BQ261" s="26"/>
      <c r="BR261" s="26"/>
      <c r="BS261" s="26"/>
      <c r="BT261" s="26"/>
      <c r="BU261" s="26"/>
      <c r="BV261" s="26"/>
      <c r="BW261" s="26"/>
      <c r="BX261" s="26"/>
      <c r="BY261" s="26"/>
      <c r="BZ261" s="26"/>
      <c r="CA261" s="26"/>
      <c r="CB261" s="26"/>
      <c r="CC261" s="26"/>
      <c r="CD261" s="26"/>
      <c r="CE261" s="26"/>
      <c r="CF261" s="26"/>
      <c r="CG261" s="26"/>
      <c r="CH261" s="26"/>
      <c r="CI261" s="26"/>
      <c r="CJ261" s="26"/>
      <c r="CK261" s="26"/>
      <c r="CL261" s="26"/>
      <c r="CM261" s="26"/>
      <c r="CN261" s="26"/>
      <c r="CO261" s="26"/>
      <c r="CP261" s="26"/>
      <c r="CQ261" s="26"/>
      <c r="CR261" s="26"/>
      <c r="CS261" s="26"/>
      <c r="CT261" s="26"/>
      <c r="CU261" s="26"/>
      <c r="CV261" s="26"/>
      <c r="CW261" s="26"/>
      <c r="CX261" s="26"/>
      <c r="CY261" s="26"/>
      <c r="CZ261" s="26"/>
      <c r="DA261" s="26"/>
      <c r="DB261" s="26"/>
      <c r="DC261" s="26"/>
      <c r="DD261" s="26"/>
    </row>
    <row r="262" spans="59:108" x14ac:dyDescent="0.2">
      <c r="BG262" s="26"/>
      <c r="BH262" s="26"/>
      <c r="BI262" s="26"/>
      <c r="BJ262" s="26"/>
      <c r="BK262" s="26"/>
      <c r="BL262" s="26"/>
      <c r="BM262" s="26"/>
      <c r="BN262" s="26"/>
      <c r="BO262" s="26"/>
      <c r="BP262" s="26"/>
      <c r="BQ262" s="26"/>
      <c r="BR262" s="26"/>
      <c r="BS262" s="26"/>
      <c r="BT262" s="26"/>
      <c r="BU262" s="26"/>
      <c r="BV262" s="26"/>
      <c r="BW262" s="26"/>
      <c r="BX262" s="26"/>
      <c r="BY262" s="26"/>
      <c r="BZ262" s="26"/>
      <c r="CA262" s="26"/>
      <c r="CB262" s="26"/>
      <c r="CC262" s="26"/>
      <c r="CD262" s="26"/>
      <c r="CE262" s="26"/>
      <c r="CF262" s="26"/>
      <c r="CG262" s="26"/>
      <c r="CH262" s="26"/>
      <c r="CI262" s="26"/>
      <c r="CJ262" s="26"/>
      <c r="CK262" s="26"/>
      <c r="CL262" s="26"/>
      <c r="CM262" s="26"/>
      <c r="CN262" s="26"/>
      <c r="CO262" s="26"/>
      <c r="CP262" s="26"/>
      <c r="CQ262" s="26"/>
      <c r="CR262" s="26"/>
      <c r="CS262" s="26"/>
      <c r="CT262" s="26"/>
      <c r="CU262" s="26"/>
      <c r="CV262" s="26"/>
      <c r="CW262" s="26"/>
      <c r="CX262" s="26"/>
      <c r="CY262" s="26"/>
      <c r="CZ262" s="26"/>
      <c r="DA262" s="26"/>
      <c r="DB262" s="26"/>
      <c r="DC262" s="26"/>
      <c r="DD262" s="26"/>
    </row>
    <row r="263" spans="59:108" x14ac:dyDescent="0.2">
      <c r="BG263" s="26"/>
      <c r="BH263" s="26"/>
      <c r="BI263" s="26"/>
      <c r="BJ263" s="26"/>
      <c r="BK263" s="26"/>
      <c r="BL263" s="26"/>
      <c r="BM263" s="26"/>
      <c r="BN263" s="26"/>
      <c r="BO263" s="26"/>
      <c r="BP263" s="26"/>
      <c r="BQ263" s="26"/>
      <c r="BR263" s="26"/>
      <c r="BS263" s="26"/>
      <c r="BT263" s="26"/>
      <c r="BU263" s="26"/>
      <c r="BV263" s="26"/>
      <c r="BW263" s="26"/>
      <c r="BX263" s="26"/>
      <c r="BY263" s="26"/>
      <c r="BZ263" s="26"/>
      <c r="CA263" s="26"/>
      <c r="CB263" s="26"/>
      <c r="CC263" s="26"/>
      <c r="CD263" s="26"/>
      <c r="CE263" s="26"/>
      <c r="CF263" s="26"/>
      <c r="CG263" s="26"/>
      <c r="CH263" s="26"/>
      <c r="CI263" s="26"/>
      <c r="CJ263" s="26"/>
      <c r="CK263" s="26"/>
      <c r="CL263" s="26"/>
      <c r="CM263" s="26"/>
      <c r="CN263" s="26"/>
      <c r="CO263" s="26"/>
      <c r="CP263" s="26"/>
      <c r="CQ263" s="26"/>
      <c r="CR263" s="26"/>
      <c r="CS263" s="26"/>
      <c r="CT263" s="26"/>
      <c r="CU263" s="26"/>
      <c r="CV263" s="26"/>
      <c r="CW263" s="26"/>
      <c r="CX263" s="26"/>
      <c r="CY263" s="26"/>
      <c r="CZ263" s="26"/>
      <c r="DA263" s="26"/>
      <c r="DB263" s="26"/>
      <c r="DC263" s="26"/>
      <c r="DD263" s="26"/>
    </row>
    <row r="264" spans="59:108" x14ac:dyDescent="0.2">
      <c r="BG264" s="26"/>
      <c r="BH264" s="26"/>
      <c r="BI264" s="26"/>
      <c r="BJ264" s="26"/>
      <c r="BK264" s="26"/>
      <c r="BL264" s="26"/>
      <c r="BM264" s="26"/>
      <c r="BN264" s="26"/>
      <c r="BO264" s="26"/>
      <c r="BP264" s="26"/>
      <c r="BQ264" s="26"/>
      <c r="BR264" s="26"/>
      <c r="BS264" s="26"/>
      <c r="BT264" s="26"/>
      <c r="BU264" s="26"/>
      <c r="BV264" s="26"/>
      <c r="BW264" s="26"/>
      <c r="BX264" s="26"/>
      <c r="BY264" s="26"/>
      <c r="BZ264" s="26"/>
      <c r="CA264" s="26"/>
      <c r="CB264" s="26"/>
      <c r="CC264" s="26"/>
      <c r="CD264" s="26"/>
      <c r="CE264" s="26"/>
      <c r="CF264" s="26"/>
      <c r="CG264" s="26"/>
      <c r="CH264" s="26"/>
      <c r="CI264" s="26"/>
      <c r="CJ264" s="26"/>
      <c r="CK264" s="26"/>
      <c r="CL264" s="26"/>
      <c r="CM264" s="26"/>
      <c r="CN264" s="26"/>
      <c r="CO264" s="26"/>
      <c r="CP264" s="26"/>
      <c r="CQ264" s="26"/>
      <c r="CR264" s="26"/>
      <c r="CS264" s="26"/>
      <c r="CT264" s="26"/>
      <c r="CU264" s="26"/>
      <c r="CV264" s="26"/>
      <c r="CW264" s="26"/>
      <c r="CX264" s="26"/>
      <c r="CY264" s="26"/>
      <c r="CZ264" s="26"/>
      <c r="DA264" s="26"/>
      <c r="DB264" s="26"/>
      <c r="DC264" s="26"/>
      <c r="DD264" s="26"/>
    </row>
    <row r="265" spans="59:108" x14ac:dyDescent="0.2">
      <c r="BG265" s="26"/>
      <c r="BH265" s="26"/>
      <c r="BI265" s="26"/>
      <c r="BJ265" s="26"/>
      <c r="BK265" s="26"/>
      <c r="BL265" s="26"/>
      <c r="BM265" s="26"/>
      <c r="BN265" s="26"/>
      <c r="BO265" s="26"/>
      <c r="BP265" s="26"/>
      <c r="BQ265" s="26"/>
      <c r="BR265" s="26"/>
      <c r="BS265" s="26"/>
      <c r="BT265" s="26"/>
      <c r="BU265" s="26"/>
      <c r="BV265" s="26"/>
      <c r="BW265" s="26"/>
      <c r="BX265" s="26"/>
      <c r="BY265" s="26"/>
      <c r="BZ265" s="26"/>
      <c r="CA265" s="26"/>
      <c r="CB265" s="26"/>
      <c r="CC265" s="26"/>
      <c r="CD265" s="26"/>
      <c r="CE265" s="26"/>
      <c r="CF265" s="26"/>
      <c r="CG265" s="26"/>
      <c r="CH265" s="26"/>
      <c r="CI265" s="26"/>
      <c r="CJ265" s="26"/>
      <c r="CK265" s="26"/>
      <c r="CL265" s="26"/>
      <c r="CM265" s="26"/>
      <c r="CN265" s="26"/>
      <c r="CO265" s="26"/>
      <c r="CP265" s="26"/>
      <c r="CQ265" s="26"/>
      <c r="CR265" s="26"/>
      <c r="CS265" s="26"/>
      <c r="CT265" s="26"/>
      <c r="CU265" s="26"/>
      <c r="CV265" s="26"/>
      <c r="CW265" s="26"/>
      <c r="CX265" s="26"/>
      <c r="CY265" s="26"/>
      <c r="CZ265" s="26"/>
      <c r="DA265" s="26"/>
      <c r="DB265" s="26"/>
      <c r="DC265" s="26"/>
      <c r="DD265" s="26"/>
    </row>
    <row r="266" spans="59:108" x14ac:dyDescent="0.2">
      <c r="BG266" s="26"/>
      <c r="BH266" s="26"/>
      <c r="BI266" s="26"/>
      <c r="BJ266" s="26"/>
      <c r="BK266" s="26"/>
      <c r="BL266" s="26"/>
      <c r="BM266" s="26"/>
      <c r="BN266" s="26"/>
      <c r="BO266" s="26"/>
      <c r="BP266" s="26"/>
      <c r="BQ266" s="26"/>
      <c r="BR266" s="26"/>
      <c r="BS266" s="26"/>
      <c r="BT266" s="26"/>
      <c r="BU266" s="26"/>
      <c r="BV266" s="26"/>
      <c r="BW266" s="26"/>
      <c r="BX266" s="26"/>
      <c r="BY266" s="26"/>
      <c r="BZ266" s="26"/>
      <c r="CA266" s="26"/>
      <c r="CB266" s="26"/>
      <c r="CC266" s="26"/>
      <c r="CD266" s="26"/>
      <c r="CE266" s="26"/>
      <c r="CF266" s="26"/>
      <c r="CG266" s="26"/>
      <c r="CH266" s="26"/>
      <c r="CI266" s="26"/>
      <c r="CJ266" s="26"/>
      <c r="CK266" s="26"/>
      <c r="CL266" s="26"/>
      <c r="CM266" s="26"/>
      <c r="CN266" s="26"/>
      <c r="CO266" s="26"/>
      <c r="CP266" s="26"/>
      <c r="CQ266" s="26"/>
      <c r="CR266" s="26"/>
      <c r="CS266" s="26"/>
      <c r="CT266" s="26"/>
      <c r="CU266" s="26"/>
      <c r="CV266" s="26"/>
      <c r="CW266" s="26"/>
      <c r="CX266" s="26"/>
      <c r="CY266" s="26"/>
      <c r="CZ266" s="26"/>
      <c r="DA266" s="26"/>
      <c r="DB266" s="26"/>
      <c r="DC266" s="26"/>
      <c r="DD266" s="26"/>
    </row>
    <row r="267" spans="59:108" x14ac:dyDescent="0.2">
      <c r="BG267" s="26"/>
      <c r="BH267" s="26"/>
      <c r="BI267" s="26"/>
      <c r="BJ267" s="26"/>
      <c r="BK267" s="26"/>
      <c r="BL267" s="26"/>
      <c r="BM267" s="26"/>
      <c r="BN267" s="26"/>
      <c r="BO267" s="26"/>
      <c r="BP267" s="26"/>
      <c r="BQ267" s="26"/>
      <c r="BR267" s="26"/>
      <c r="BS267" s="26"/>
      <c r="BT267" s="26"/>
      <c r="BU267" s="26"/>
      <c r="BV267" s="26"/>
      <c r="BW267" s="26"/>
      <c r="BX267" s="26"/>
      <c r="BY267" s="26"/>
      <c r="BZ267" s="26"/>
      <c r="CA267" s="26"/>
      <c r="CB267" s="26"/>
      <c r="CC267" s="26"/>
      <c r="CD267" s="26"/>
      <c r="CE267" s="26"/>
      <c r="CF267" s="26"/>
      <c r="CG267" s="26"/>
      <c r="CH267" s="26"/>
      <c r="CI267" s="26"/>
      <c r="CJ267" s="26"/>
      <c r="CK267" s="26"/>
      <c r="CL267" s="26"/>
      <c r="CM267" s="26"/>
      <c r="CN267" s="26"/>
      <c r="CO267" s="26"/>
      <c r="CP267" s="26"/>
      <c r="CQ267" s="26"/>
      <c r="CR267" s="26"/>
      <c r="CS267" s="26"/>
      <c r="CT267" s="26"/>
      <c r="CU267" s="26"/>
      <c r="CV267" s="26"/>
      <c r="CW267" s="26"/>
      <c r="CX267" s="26"/>
      <c r="CY267" s="26"/>
      <c r="CZ267" s="26"/>
      <c r="DA267" s="26"/>
      <c r="DB267" s="26"/>
      <c r="DC267" s="26"/>
      <c r="DD267" s="26"/>
    </row>
    <row r="268" spans="59:108" x14ac:dyDescent="0.2">
      <c r="BG268" s="26"/>
      <c r="BH268" s="26"/>
      <c r="BI268" s="26"/>
      <c r="BJ268" s="26"/>
      <c r="BK268" s="26"/>
      <c r="BL268" s="26"/>
      <c r="BM268" s="26"/>
      <c r="BN268" s="26"/>
      <c r="BO268" s="26"/>
      <c r="BP268" s="26"/>
      <c r="BQ268" s="26"/>
      <c r="BR268" s="26"/>
      <c r="BS268" s="26"/>
      <c r="BT268" s="26"/>
      <c r="BU268" s="26"/>
      <c r="BV268" s="26"/>
      <c r="BW268" s="26"/>
      <c r="BX268" s="26"/>
      <c r="BY268" s="26"/>
      <c r="BZ268" s="26"/>
      <c r="CA268" s="26"/>
      <c r="CB268" s="26"/>
      <c r="CC268" s="26"/>
      <c r="CD268" s="26"/>
      <c r="CE268" s="26"/>
      <c r="CF268" s="26"/>
      <c r="CG268" s="26"/>
      <c r="CH268" s="26"/>
      <c r="CI268" s="26"/>
      <c r="CJ268" s="26"/>
      <c r="CK268" s="26"/>
      <c r="CL268" s="26"/>
      <c r="CM268" s="26"/>
      <c r="CN268" s="26"/>
      <c r="CO268" s="26"/>
      <c r="CP268" s="26"/>
      <c r="CQ268" s="26"/>
      <c r="CR268" s="26"/>
      <c r="CS268" s="26"/>
      <c r="CT268" s="26"/>
      <c r="CU268" s="26"/>
      <c r="CV268" s="26"/>
      <c r="CW268" s="26"/>
      <c r="CX268" s="26"/>
      <c r="CY268" s="26"/>
      <c r="CZ268" s="26"/>
      <c r="DA268" s="26"/>
      <c r="DB268" s="26"/>
      <c r="DC268" s="26"/>
      <c r="DD268" s="26"/>
    </row>
    <row r="269" spans="59:108" x14ac:dyDescent="0.2">
      <c r="BG269" s="26"/>
      <c r="BH269" s="26"/>
      <c r="BI269" s="26"/>
      <c r="BJ269" s="26"/>
      <c r="BK269" s="26"/>
      <c r="BL269" s="26"/>
      <c r="BM269" s="26"/>
      <c r="BN269" s="26"/>
      <c r="BO269" s="26"/>
      <c r="BP269" s="26"/>
      <c r="BQ269" s="26"/>
      <c r="BR269" s="26"/>
      <c r="BS269" s="26"/>
      <c r="BT269" s="26"/>
      <c r="BU269" s="26"/>
      <c r="BV269" s="26"/>
      <c r="BW269" s="26"/>
      <c r="BX269" s="26"/>
      <c r="BY269" s="26"/>
      <c r="BZ269" s="26"/>
      <c r="CA269" s="26"/>
      <c r="CB269" s="26"/>
      <c r="CC269" s="26"/>
      <c r="CD269" s="26"/>
      <c r="CE269" s="26"/>
      <c r="CF269" s="26"/>
      <c r="CG269" s="26"/>
      <c r="CH269" s="26"/>
      <c r="CI269" s="26"/>
      <c r="CJ269" s="26"/>
      <c r="CK269" s="26"/>
      <c r="CL269" s="26"/>
      <c r="CM269" s="26"/>
      <c r="CN269" s="26"/>
      <c r="CO269" s="26"/>
      <c r="CP269" s="26"/>
      <c r="CQ269" s="26"/>
      <c r="CR269" s="26"/>
      <c r="CS269" s="26"/>
      <c r="CT269" s="26"/>
      <c r="CU269" s="26"/>
      <c r="CV269" s="26"/>
      <c r="CW269" s="26"/>
      <c r="CX269" s="26"/>
      <c r="CY269" s="26"/>
      <c r="CZ269" s="26"/>
      <c r="DA269" s="26"/>
      <c r="DB269" s="26"/>
      <c r="DC269" s="26"/>
      <c r="DD269" s="26"/>
    </row>
    <row r="270" spans="59:108" x14ac:dyDescent="0.2">
      <c r="BG270" s="26"/>
      <c r="BH270" s="26"/>
      <c r="BI270" s="26"/>
      <c r="BJ270" s="26"/>
      <c r="BK270" s="26"/>
      <c r="BL270" s="26"/>
      <c r="BM270" s="26"/>
      <c r="BN270" s="26"/>
      <c r="BO270" s="26"/>
      <c r="BP270" s="26"/>
      <c r="BQ270" s="26"/>
      <c r="BR270" s="26"/>
      <c r="BS270" s="26"/>
      <c r="BT270" s="26"/>
      <c r="BU270" s="26"/>
      <c r="BV270" s="26"/>
      <c r="BW270" s="26"/>
      <c r="BX270" s="26"/>
      <c r="BY270" s="26"/>
      <c r="BZ270" s="26"/>
      <c r="CA270" s="26"/>
      <c r="CB270" s="26"/>
      <c r="CC270" s="26"/>
      <c r="CD270" s="26"/>
      <c r="CE270" s="26"/>
      <c r="CF270" s="26"/>
      <c r="CG270" s="26"/>
      <c r="CH270" s="26"/>
      <c r="CI270" s="26"/>
      <c r="CJ270" s="26"/>
      <c r="CK270" s="26"/>
      <c r="CL270" s="26"/>
      <c r="CM270" s="26"/>
      <c r="CN270" s="26"/>
      <c r="CO270" s="26"/>
      <c r="CP270" s="26"/>
      <c r="CQ270" s="26"/>
      <c r="CR270" s="26"/>
      <c r="CS270" s="26"/>
      <c r="CT270" s="26"/>
      <c r="CU270" s="26"/>
      <c r="CV270" s="26"/>
      <c r="CW270" s="26"/>
      <c r="CX270" s="26"/>
      <c r="CY270" s="26"/>
      <c r="CZ270" s="26"/>
      <c r="DA270" s="26"/>
      <c r="DB270" s="26"/>
      <c r="DC270" s="26"/>
      <c r="DD270" s="26"/>
    </row>
    <row r="271" spans="59:108" x14ac:dyDescent="0.2">
      <c r="BG271" s="26"/>
      <c r="BH271" s="26"/>
      <c r="BI271" s="26"/>
      <c r="BJ271" s="26"/>
      <c r="BK271" s="26"/>
      <c r="BL271" s="26"/>
      <c r="BM271" s="26"/>
      <c r="BN271" s="26"/>
      <c r="BO271" s="26"/>
      <c r="BP271" s="26"/>
      <c r="BQ271" s="26"/>
      <c r="BR271" s="26"/>
      <c r="BS271" s="26"/>
      <c r="BT271" s="26"/>
      <c r="BU271" s="26"/>
      <c r="BV271" s="26"/>
      <c r="BW271" s="26"/>
      <c r="BX271" s="26"/>
      <c r="BY271" s="26"/>
      <c r="BZ271" s="26"/>
      <c r="CA271" s="26"/>
      <c r="CB271" s="26"/>
      <c r="CC271" s="26"/>
      <c r="CD271" s="26"/>
      <c r="CE271" s="26"/>
      <c r="CF271" s="26"/>
      <c r="CG271" s="26"/>
      <c r="CH271" s="26"/>
      <c r="CI271" s="26"/>
      <c r="CJ271" s="26"/>
      <c r="CK271" s="26"/>
      <c r="CL271" s="26"/>
      <c r="CM271" s="26"/>
      <c r="CN271" s="26"/>
      <c r="CO271" s="26"/>
      <c r="CP271" s="26"/>
      <c r="CQ271" s="26"/>
      <c r="CR271" s="26"/>
      <c r="CS271" s="26"/>
      <c r="CT271" s="26"/>
      <c r="CU271" s="26"/>
      <c r="CV271" s="26"/>
      <c r="CW271" s="26"/>
      <c r="CX271" s="26"/>
      <c r="CY271" s="26"/>
      <c r="CZ271" s="26"/>
      <c r="DA271" s="26"/>
      <c r="DB271" s="26"/>
      <c r="DC271" s="26"/>
      <c r="DD271" s="26"/>
    </row>
    <row r="272" spans="59:108" x14ac:dyDescent="0.2">
      <c r="BG272" s="26"/>
      <c r="BH272" s="26"/>
      <c r="BI272" s="26"/>
      <c r="BJ272" s="26"/>
      <c r="BK272" s="26"/>
      <c r="BL272" s="26"/>
      <c r="BM272" s="26"/>
      <c r="BN272" s="26"/>
      <c r="BO272" s="26"/>
      <c r="BP272" s="26"/>
      <c r="BQ272" s="26"/>
      <c r="BR272" s="26"/>
      <c r="BS272" s="26"/>
      <c r="BT272" s="26"/>
      <c r="BU272" s="26"/>
      <c r="BV272" s="26"/>
      <c r="BW272" s="26"/>
      <c r="BX272" s="26"/>
      <c r="BY272" s="26"/>
      <c r="BZ272" s="26"/>
      <c r="CA272" s="26"/>
      <c r="CB272" s="26"/>
      <c r="CC272" s="26"/>
      <c r="CD272" s="26"/>
      <c r="CE272" s="26"/>
      <c r="CF272" s="26"/>
      <c r="CG272" s="26"/>
      <c r="CH272" s="26"/>
      <c r="CI272" s="26"/>
      <c r="CJ272" s="26"/>
      <c r="CK272" s="26"/>
      <c r="CL272" s="26"/>
      <c r="CM272" s="26"/>
      <c r="CN272" s="26"/>
      <c r="CO272" s="26"/>
      <c r="CP272" s="26"/>
      <c r="CQ272" s="26"/>
      <c r="CR272" s="26"/>
      <c r="CS272" s="26"/>
      <c r="CT272" s="26"/>
      <c r="CU272" s="26"/>
      <c r="CV272" s="26"/>
      <c r="CW272" s="26"/>
      <c r="CX272" s="26"/>
      <c r="CY272" s="26"/>
      <c r="CZ272" s="26"/>
      <c r="DA272" s="26"/>
      <c r="DB272" s="26"/>
      <c r="DC272" s="26"/>
      <c r="DD272" s="26"/>
    </row>
    <row r="273" spans="59:108" x14ac:dyDescent="0.2">
      <c r="BG273" s="26"/>
      <c r="BH273" s="26"/>
      <c r="BI273" s="26"/>
      <c r="BJ273" s="26"/>
      <c r="BK273" s="26"/>
      <c r="BL273" s="26"/>
      <c r="BM273" s="26"/>
      <c r="BN273" s="26"/>
      <c r="BO273" s="26"/>
      <c r="BP273" s="26"/>
      <c r="BQ273" s="26"/>
      <c r="BR273" s="26"/>
      <c r="BS273" s="26"/>
      <c r="BT273" s="26"/>
      <c r="BU273" s="26"/>
      <c r="BV273" s="26"/>
      <c r="BW273" s="26"/>
      <c r="BX273" s="26"/>
      <c r="BY273" s="26"/>
      <c r="BZ273" s="26"/>
      <c r="CA273" s="26"/>
      <c r="CB273" s="26"/>
      <c r="CC273" s="26"/>
      <c r="CD273" s="26"/>
      <c r="CE273" s="26"/>
      <c r="CF273" s="26"/>
      <c r="CG273" s="26"/>
      <c r="CH273" s="26"/>
      <c r="CI273" s="26"/>
      <c r="CJ273" s="26"/>
      <c r="CK273" s="26"/>
      <c r="CL273" s="26"/>
      <c r="CM273" s="26"/>
      <c r="CN273" s="26"/>
      <c r="CO273" s="26"/>
      <c r="CP273" s="26"/>
      <c r="CQ273" s="26"/>
      <c r="CR273" s="26"/>
      <c r="CS273" s="26"/>
      <c r="CT273" s="26"/>
      <c r="CU273" s="26"/>
      <c r="CV273" s="26"/>
      <c r="CW273" s="26"/>
      <c r="CX273" s="26"/>
      <c r="CY273" s="26"/>
      <c r="CZ273" s="26"/>
      <c r="DA273" s="26"/>
      <c r="DB273" s="26"/>
      <c r="DC273" s="26"/>
      <c r="DD273" s="26"/>
    </row>
    <row r="274" spans="59:108" x14ac:dyDescent="0.2">
      <c r="BG274" s="26"/>
      <c r="BH274" s="26"/>
      <c r="BI274" s="26"/>
      <c r="BJ274" s="26"/>
      <c r="BK274" s="26"/>
      <c r="BL274" s="26"/>
      <c r="BM274" s="26"/>
      <c r="BN274" s="26"/>
      <c r="BO274" s="26"/>
      <c r="BP274" s="26"/>
      <c r="BQ274" s="26"/>
      <c r="BR274" s="26"/>
      <c r="BS274" s="26"/>
      <c r="BT274" s="26"/>
      <c r="BU274" s="26"/>
      <c r="BV274" s="26"/>
      <c r="BW274" s="26"/>
      <c r="BX274" s="26"/>
      <c r="BY274" s="26"/>
      <c r="BZ274" s="26"/>
      <c r="CA274" s="26"/>
      <c r="CB274" s="26"/>
      <c r="CC274" s="26"/>
      <c r="CD274" s="26"/>
      <c r="CE274" s="26"/>
      <c r="CF274" s="26"/>
      <c r="CG274" s="26"/>
      <c r="CH274" s="26"/>
      <c r="CI274" s="26"/>
      <c r="CJ274" s="26"/>
      <c r="CK274" s="26"/>
      <c r="CL274" s="26"/>
      <c r="CM274" s="26"/>
      <c r="CN274" s="26"/>
      <c r="CO274" s="26"/>
      <c r="CP274" s="26"/>
      <c r="CQ274" s="26"/>
      <c r="CR274" s="26"/>
      <c r="CS274" s="26"/>
      <c r="CT274" s="26"/>
      <c r="CU274" s="26"/>
      <c r="CV274" s="26"/>
      <c r="CW274" s="26"/>
      <c r="CX274" s="26"/>
      <c r="CY274" s="26"/>
      <c r="CZ274" s="26"/>
      <c r="DA274" s="26"/>
      <c r="DB274" s="26"/>
      <c r="DC274" s="26"/>
      <c r="DD274" s="26"/>
    </row>
    <row r="275" spans="59:108" x14ac:dyDescent="0.2">
      <c r="BG275" s="26"/>
      <c r="BH275" s="26"/>
      <c r="BI275" s="26"/>
      <c r="BJ275" s="26"/>
      <c r="BK275" s="26"/>
      <c r="BL275" s="26"/>
      <c r="BM275" s="26"/>
      <c r="BN275" s="26"/>
      <c r="BO275" s="26"/>
      <c r="BP275" s="26"/>
      <c r="BQ275" s="26"/>
      <c r="BR275" s="26"/>
      <c r="BS275" s="26"/>
      <c r="BT275" s="26"/>
      <c r="BU275" s="26"/>
      <c r="BV275" s="26"/>
      <c r="BW275" s="26"/>
      <c r="BX275" s="26"/>
      <c r="BY275" s="26"/>
      <c r="BZ275" s="26"/>
      <c r="CA275" s="26"/>
      <c r="CB275" s="26"/>
      <c r="CC275" s="26"/>
      <c r="CD275" s="26"/>
      <c r="CE275" s="26"/>
      <c r="CF275" s="26"/>
      <c r="CG275" s="26"/>
      <c r="CH275" s="26"/>
      <c r="CI275" s="26"/>
      <c r="CJ275" s="26"/>
      <c r="CK275" s="26"/>
      <c r="CL275" s="26"/>
      <c r="CM275" s="26"/>
      <c r="CN275" s="26"/>
      <c r="CO275" s="26"/>
      <c r="CP275" s="26"/>
      <c r="CQ275" s="26"/>
      <c r="CR275" s="26"/>
      <c r="CS275" s="26"/>
      <c r="CT275" s="26"/>
      <c r="CU275" s="26"/>
      <c r="CV275" s="26"/>
      <c r="CW275" s="26"/>
      <c r="CX275" s="26"/>
      <c r="CY275" s="26"/>
      <c r="CZ275" s="26"/>
      <c r="DA275" s="26"/>
      <c r="DB275" s="26"/>
      <c r="DC275" s="26"/>
      <c r="DD275" s="26"/>
    </row>
    <row r="276" spans="59:108" x14ac:dyDescent="0.2">
      <c r="BG276" s="26"/>
      <c r="BH276" s="26"/>
      <c r="BI276" s="26"/>
      <c r="BJ276" s="26"/>
      <c r="BK276" s="26"/>
      <c r="BL276" s="26"/>
      <c r="BM276" s="26"/>
      <c r="BN276" s="26"/>
      <c r="BO276" s="26"/>
      <c r="BP276" s="26"/>
      <c r="BQ276" s="26"/>
      <c r="BR276" s="26"/>
      <c r="BS276" s="26"/>
      <c r="BT276" s="26"/>
      <c r="BU276" s="26"/>
      <c r="BV276" s="26"/>
      <c r="BW276" s="26"/>
      <c r="BX276" s="26"/>
      <c r="BY276" s="26"/>
      <c r="BZ276" s="26"/>
      <c r="CA276" s="26"/>
      <c r="CB276" s="26"/>
      <c r="CC276" s="26"/>
      <c r="CD276" s="26"/>
      <c r="CE276" s="26"/>
      <c r="CF276" s="26"/>
      <c r="CG276" s="26"/>
      <c r="CH276" s="26"/>
      <c r="CI276" s="26"/>
      <c r="CJ276" s="26"/>
      <c r="CK276" s="26"/>
      <c r="CL276" s="26"/>
      <c r="CM276" s="26"/>
      <c r="CN276" s="26"/>
      <c r="CO276" s="26"/>
      <c r="CP276" s="26"/>
      <c r="CQ276" s="26"/>
      <c r="CR276" s="26"/>
      <c r="CS276" s="26"/>
      <c r="CT276" s="26"/>
      <c r="CU276" s="26"/>
      <c r="CV276" s="26"/>
      <c r="CW276" s="26"/>
      <c r="CX276" s="26"/>
      <c r="CY276" s="26"/>
      <c r="CZ276" s="26"/>
      <c r="DA276" s="26"/>
      <c r="DB276" s="26"/>
      <c r="DC276" s="26"/>
      <c r="DD276" s="26"/>
    </row>
    <row r="277" spans="59:108" x14ac:dyDescent="0.2">
      <c r="BG277" s="26"/>
      <c r="BH277" s="26"/>
      <c r="BI277" s="26"/>
      <c r="BJ277" s="26"/>
      <c r="BK277" s="26"/>
      <c r="BL277" s="26"/>
      <c r="BM277" s="26"/>
      <c r="BN277" s="26"/>
      <c r="BO277" s="26"/>
      <c r="BP277" s="26"/>
      <c r="BQ277" s="26"/>
      <c r="BR277" s="26"/>
      <c r="BS277" s="26"/>
      <c r="BT277" s="26"/>
      <c r="BU277" s="26"/>
      <c r="BV277" s="26"/>
      <c r="BW277" s="26"/>
      <c r="BX277" s="26"/>
      <c r="BY277" s="26"/>
      <c r="BZ277" s="26"/>
      <c r="CA277" s="26"/>
      <c r="CB277" s="26"/>
      <c r="CC277" s="26"/>
      <c r="CD277" s="26"/>
      <c r="CE277" s="26"/>
      <c r="CF277" s="26"/>
      <c r="CG277" s="26"/>
      <c r="CH277" s="26"/>
      <c r="CI277" s="26"/>
      <c r="CJ277" s="26"/>
      <c r="CK277" s="26"/>
      <c r="CL277" s="26"/>
      <c r="CM277" s="26"/>
      <c r="CN277" s="26"/>
      <c r="CO277" s="26"/>
      <c r="CP277" s="26"/>
      <c r="CQ277" s="26"/>
      <c r="CR277" s="26"/>
      <c r="CS277" s="26"/>
      <c r="CT277" s="26"/>
      <c r="CU277" s="26"/>
      <c r="CV277" s="26"/>
      <c r="CW277" s="26"/>
      <c r="CX277" s="26"/>
      <c r="CY277" s="26"/>
      <c r="CZ277" s="26"/>
      <c r="DA277" s="26"/>
      <c r="DB277" s="26"/>
      <c r="DC277" s="26"/>
      <c r="DD277" s="26"/>
    </row>
    <row r="278" spans="59:108" x14ac:dyDescent="0.2">
      <c r="BG278" s="26"/>
      <c r="BH278" s="26"/>
      <c r="BI278" s="26"/>
      <c r="BJ278" s="26"/>
      <c r="BK278" s="26"/>
      <c r="BL278" s="26"/>
      <c r="BM278" s="26"/>
      <c r="BN278" s="26"/>
      <c r="BO278" s="26"/>
      <c r="BP278" s="26"/>
      <c r="BQ278" s="26"/>
      <c r="BR278" s="26"/>
      <c r="BS278" s="26"/>
      <c r="BT278" s="26"/>
      <c r="BU278" s="26"/>
      <c r="BV278" s="26"/>
      <c r="BW278" s="26"/>
      <c r="BX278" s="26"/>
      <c r="BY278" s="26"/>
      <c r="BZ278" s="26"/>
      <c r="CA278" s="26"/>
      <c r="CB278" s="26"/>
      <c r="CC278" s="26"/>
      <c r="CD278" s="26"/>
      <c r="CE278" s="26"/>
      <c r="CF278" s="26"/>
      <c r="CG278" s="26"/>
      <c r="CH278" s="26"/>
      <c r="CI278" s="26"/>
      <c r="CJ278" s="26"/>
      <c r="CK278" s="26"/>
      <c r="CL278" s="26"/>
      <c r="CM278" s="26"/>
      <c r="CN278" s="26"/>
      <c r="CO278" s="26"/>
      <c r="CP278" s="26"/>
      <c r="CQ278" s="26"/>
      <c r="CR278" s="26"/>
      <c r="CS278" s="26"/>
      <c r="CT278" s="26"/>
      <c r="CU278" s="26"/>
      <c r="CV278" s="26"/>
      <c r="CW278" s="26"/>
      <c r="CX278" s="26"/>
      <c r="CY278" s="26"/>
      <c r="CZ278" s="26"/>
      <c r="DA278" s="26"/>
      <c r="DB278" s="26"/>
      <c r="DC278" s="26"/>
      <c r="DD278" s="26"/>
    </row>
    <row r="279" spans="59:108" x14ac:dyDescent="0.2">
      <c r="BG279" s="26"/>
      <c r="BH279" s="26"/>
      <c r="BI279" s="26"/>
      <c r="BJ279" s="26"/>
      <c r="BK279" s="26"/>
      <c r="BL279" s="26"/>
      <c r="BM279" s="26"/>
      <c r="BN279" s="26"/>
      <c r="BO279" s="26"/>
      <c r="BP279" s="26"/>
      <c r="BQ279" s="26"/>
      <c r="BR279" s="26"/>
      <c r="BS279" s="26"/>
      <c r="BT279" s="26"/>
      <c r="BU279" s="26"/>
      <c r="BV279" s="26"/>
      <c r="BW279" s="26"/>
      <c r="BX279" s="26"/>
      <c r="BY279" s="26"/>
      <c r="BZ279" s="26"/>
      <c r="CA279" s="26"/>
      <c r="CB279" s="26"/>
      <c r="CC279" s="26"/>
      <c r="CD279" s="26"/>
      <c r="CE279" s="26"/>
      <c r="CF279" s="26"/>
      <c r="CG279" s="26"/>
      <c r="CH279" s="26"/>
      <c r="CI279" s="26"/>
      <c r="CJ279" s="26"/>
      <c r="CK279" s="26"/>
      <c r="CL279" s="26"/>
      <c r="CM279" s="26"/>
      <c r="CN279" s="26"/>
      <c r="CO279" s="26"/>
      <c r="CP279" s="26"/>
      <c r="CQ279" s="26"/>
      <c r="CR279" s="26"/>
      <c r="CS279" s="26"/>
      <c r="CT279" s="26"/>
      <c r="CU279" s="26"/>
      <c r="CV279" s="26"/>
      <c r="CW279" s="26"/>
      <c r="CX279" s="26"/>
      <c r="CY279" s="26"/>
      <c r="CZ279" s="26"/>
      <c r="DA279" s="26"/>
      <c r="DB279" s="26"/>
      <c r="DC279" s="26"/>
      <c r="DD279" s="26"/>
    </row>
    <row r="280" spans="59:108" x14ac:dyDescent="0.2">
      <c r="BG280" s="26"/>
      <c r="BH280" s="26"/>
      <c r="BI280" s="26"/>
      <c r="BJ280" s="26"/>
      <c r="BK280" s="26"/>
      <c r="BL280" s="26"/>
      <c r="BM280" s="26"/>
      <c r="BN280" s="26"/>
      <c r="BO280" s="26"/>
      <c r="BP280" s="26"/>
      <c r="BQ280" s="26"/>
      <c r="BR280" s="26"/>
      <c r="BS280" s="26"/>
      <c r="BT280" s="26"/>
      <c r="BU280" s="26"/>
      <c r="BV280" s="26"/>
      <c r="BW280" s="26"/>
      <c r="BX280" s="26"/>
      <c r="BY280" s="26"/>
      <c r="BZ280" s="26"/>
      <c r="CA280" s="26"/>
      <c r="CB280" s="26"/>
      <c r="CC280" s="26"/>
      <c r="CD280" s="26"/>
      <c r="CE280" s="26"/>
      <c r="CF280" s="26"/>
      <c r="CG280" s="26"/>
      <c r="CH280" s="26"/>
      <c r="CI280" s="26"/>
      <c r="CJ280" s="26"/>
      <c r="CK280" s="26"/>
      <c r="CL280" s="26"/>
      <c r="CM280" s="26"/>
      <c r="CN280" s="26"/>
      <c r="CO280" s="26"/>
      <c r="CP280" s="26"/>
      <c r="CQ280" s="26"/>
      <c r="CR280" s="26"/>
      <c r="CS280" s="26"/>
      <c r="CT280" s="26"/>
      <c r="CU280" s="26"/>
      <c r="CV280" s="26"/>
      <c r="CW280" s="26"/>
      <c r="CX280" s="26"/>
      <c r="CY280" s="26"/>
      <c r="CZ280" s="26"/>
      <c r="DA280" s="26"/>
      <c r="DB280" s="26"/>
      <c r="DC280" s="26"/>
      <c r="DD280" s="26"/>
    </row>
    <row r="281" spans="59:108" x14ac:dyDescent="0.2">
      <c r="BG281" s="26"/>
      <c r="BH281" s="26"/>
      <c r="BI281" s="26"/>
      <c r="BJ281" s="26"/>
      <c r="BK281" s="26"/>
      <c r="BL281" s="26"/>
      <c r="BM281" s="26"/>
      <c r="BN281" s="26"/>
      <c r="BO281" s="26"/>
      <c r="BP281" s="26"/>
      <c r="BQ281" s="26"/>
      <c r="BR281" s="26"/>
      <c r="BS281" s="26"/>
      <c r="BT281" s="26"/>
      <c r="BU281" s="26"/>
      <c r="BV281" s="26"/>
      <c r="BW281" s="26"/>
      <c r="BX281" s="26"/>
      <c r="BY281" s="26"/>
      <c r="BZ281" s="26"/>
      <c r="CA281" s="26"/>
      <c r="CB281" s="26"/>
      <c r="CC281" s="26"/>
      <c r="CD281" s="26"/>
      <c r="CE281" s="26"/>
      <c r="CF281" s="26"/>
      <c r="CG281" s="26"/>
      <c r="CH281" s="26"/>
      <c r="CI281" s="26"/>
      <c r="CJ281" s="26"/>
      <c r="CK281" s="26"/>
      <c r="CL281" s="26"/>
      <c r="CM281" s="26"/>
      <c r="CN281" s="26"/>
      <c r="CO281" s="26"/>
      <c r="CP281" s="26"/>
      <c r="CQ281" s="26"/>
      <c r="CR281" s="26"/>
      <c r="CS281" s="26"/>
      <c r="CT281" s="26"/>
      <c r="CU281" s="26"/>
      <c r="CV281" s="26"/>
      <c r="CW281" s="26"/>
      <c r="CX281" s="26"/>
      <c r="CY281" s="26"/>
      <c r="CZ281" s="26"/>
      <c r="DA281" s="26"/>
      <c r="DB281" s="26"/>
      <c r="DC281" s="26"/>
      <c r="DD281" s="26"/>
    </row>
    <row r="282" spans="59:108" x14ac:dyDescent="0.2">
      <c r="BG282" s="26"/>
      <c r="BH282" s="26"/>
      <c r="BI282" s="26"/>
      <c r="BJ282" s="26"/>
      <c r="BK282" s="26"/>
      <c r="BL282" s="26"/>
      <c r="BM282" s="26"/>
      <c r="BN282" s="26"/>
      <c r="BO282" s="26"/>
      <c r="BP282" s="26"/>
      <c r="BQ282" s="26"/>
      <c r="BR282" s="26"/>
      <c r="BS282" s="26"/>
      <c r="BT282" s="26"/>
      <c r="BU282" s="26"/>
      <c r="BV282" s="26"/>
      <c r="BW282" s="26"/>
      <c r="BX282" s="26"/>
      <c r="BY282" s="26"/>
      <c r="BZ282" s="26"/>
      <c r="CA282" s="26"/>
      <c r="CB282" s="26"/>
      <c r="CC282" s="26"/>
      <c r="CD282" s="26"/>
      <c r="CE282" s="26"/>
      <c r="CF282" s="26"/>
      <c r="CG282" s="26"/>
      <c r="CH282" s="26"/>
      <c r="CI282" s="26"/>
      <c r="CJ282" s="26"/>
      <c r="CK282" s="26"/>
      <c r="CL282" s="26"/>
      <c r="CM282" s="26"/>
      <c r="CN282" s="26"/>
      <c r="CO282" s="26"/>
      <c r="CP282" s="26"/>
      <c r="CQ282" s="26"/>
      <c r="CR282" s="26"/>
      <c r="CS282" s="26"/>
      <c r="CT282" s="26"/>
      <c r="CU282" s="26"/>
      <c r="CV282" s="26"/>
      <c r="CW282" s="26"/>
      <c r="CX282" s="26"/>
      <c r="CY282" s="26"/>
      <c r="CZ282" s="26"/>
      <c r="DA282" s="26"/>
      <c r="DB282" s="26"/>
      <c r="DC282" s="26"/>
      <c r="DD282" s="26"/>
    </row>
    <row r="283" spans="59:108" x14ac:dyDescent="0.2">
      <c r="BG283" s="26"/>
      <c r="BH283" s="26"/>
      <c r="BI283" s="26"/>
      <c r="BJ283" s="26"/>
      <c r="BK283" s="26"/>
      <c r="BL283" s="26"/>
      <c r="BM283" s="26"/>
      <c r="BN283" s="26"/>
      <c r="BO283" s="26"/>
      <c r="BP283" s="26"/>
      <c r="BQ283" s="26"/>
      <c r="BR283" s="26"/>
      <c r="BS283" s="26"/>
      <c r="BT283" s="26"/>
      <c r="BU283" s="26"/>
      <c r="BV283" s="26"/>
      <c r="BW283" s="26"/>
      <c r="BX283" s="26"/>
      <c r="BY283" s="26"/>
      <c r="BZ283" s="26"/>
      <c r="CA283" s="26"/>
      <c r="CB283" s="26"/>
      <c r="CC283" s="26"/>
      <c r="CD283" s="26"/>
      <c r="CE283" s="26"/>
      <c r="CF283" s="26"/>
      <c r="CG283" s="26"/>
      <c r="CH283" s="26"/>
      <c r="CI283" s="26"/>
      <c r="CJ283" s="26"/>
      <c r="CK283" s="26"/>
      <c r="CL283" s="26"/>
      <c r="CM283" s="26"/>
      <c r="CN283" s="26"/>
      <c r="CO283" s="26"/>
      <c r="CP283" s="26"/>
      <c r="CQ283" s="26"/>
      <c r="CR283" s="26"/>
      <c r="CS283" s="26"/>
      <c r="CT283" s="26"/>
      <c r="CU283" s="26"/>
      <c r="CV283" s="26"/>
      <c r="CW283" s="26"/>
      <c r="CX283" s="26"/>
      <c r="CY283" s="26"/>
      <c r="CZ283" s="26"/>
      <c r="DA283" s="26"/>
      <c r="DB283" s="26"/>
      <c r="DC283" s="26"/>
      <c r="DD283" s="26"/>
    </row>
    <row r="284" spans="59:108" x14ac:dyDescent="0.2">
      <c r="BG284" s="26"/>
      <c r="BH284" s="26"/>
      <c r="BI284" s="26"/>
      <c r="BJ284" s="26"/>
      <c r="BK284" s="26"/>
      <c r="BL284" s="26"/>
      <c r="BM284" s="26"/>
      <c r="BN284" s="26"/>
      <c r="BO284" s="26"/>
      <c r="BP284" s="26"/>
      <c r="BQ284" s="26"/>
      <c r="BR284" s="26"/>
      <c r="BS284" s="26"/>
      <c r="BT284" s="26"/>
      <c r="BU284" s="26"/>
      <c r="BV284" s="26"/>
      <c r="BW284" s="26"/>
      <c r="BX284" s="26"/>
      <c r="BY284" s="26"/>
      <c r="BZ284" s="26"/>
      <c r="CA284" s="26"/>
      <c r="CB284" s="26"/>
      <c r="CC284" s="26"/>
      <c r="CD284" s="26"/>
      <c r="CE284" s="26"/>
      <c r="CF284" s="26"/>
      <c r="CG284" s="26"/>
      <c r="CH284" s="26"/>
      <c r="CI284" s="26"/>
      <c r="CJ284" s="26"/>
      <c r="CK284" s="26"/>
      <c r="CL284" s="26"/>
      <c r="CM284" s="26"/>
      <c r="CN284" s="26"/>
      <c r="CO284" s="26"/>
      <c r="CP284" s="26"/>
      <c r="CQ284" s="26"/>
      <c r="CR284" s="26"/>
      <c r="CS284" s="26"/>
      <c r="CT284" s="26"/>
      <c r="CU284" s="26"/>
      <c r="CV284" s="26"/>
      <c r="CW284" s="26"/>
      <c r="CX284" s="26"/>
      <c r="CY284" s="26"/>
      <c r="CZ284" s="26"/>
      <c r="DA284" s="26"/>
      <c r="DB284" s="26"/>
      <c r="DC284" s="26"/>
      <c r="DD284" s="26"/>
    </row>
    <row r="285" spans="59:108" x14ac:dyDescent="0.2">
      <c r="BG285" s="26"/>
      <c r="BH285" s="26"/>
      <c r="BI285" s="26"/>
      <c r="BJ285" s="26"/>
      <c r="BK285" s="26"/>
      <c r="BL285" s="26"/>
      <c r="BM285" s="26"/>
      <c r="BN285" s="26"/>
      <c r="BO285" s="26"/>
      <c r="BP285" s="26"/>
      <c r="BQ285" s="26"/>
      <c r="BR285" s="26"/>
      <c r="BS285" s="26"/>
      <c r="BT285" s="26"/>
      <c r="BU285" s="26"/>
      <c r="BV285" s="26"/>
      <c r="BW285" s="26"/>
      <c r="BX285" s="26"/>
      <c r="BY285" s="26"/>
      <c r="BZ285" s="26"/>
      <c r="CA285" s="26"/>
      <c r="CB285" s="26"/>
      <c r="CC285" s="26"/>
      <c r="CD285" s="26"/>
      <c r="CE285" s="26"/>
      <c r="CF285" s="26"/>
      <c r="CG285" s="26"/>
      <c r="CH285" s="26"/>
      <c r="CI285" s="26"/>
      <c r="CJ285" s="26"/>
      <c r="CK285" s="26"/>
      <c r="CL285" s="26"/>
      <c r="CM285" s="26"/>
      <c r="CN285" s="26"/>
      <c r="CO285" s="26"/>
      <c r="CP285" s="26"/>
      <c r="CQ285" s="26"/>
      <c r="CR285" s="26"/>
      <c r="CS285" s="26"/>
      <c r="CT285" s="26"/>
      <c r="CU285" s="26"/>
      <c r="CV285" s="26"/>
      <c r="CW285" s="26"/>
      <c r="CX285" s="26"/>
      <c r="CY285" s="26"/>
      <c r="CZ285" s="26"/>
      <c r="DA285" s="26"/>
      <c r="DB285" s="26"/>
      <c r="DC285" s="26"/>
      <c r="DD285" s="26"/>
    </row>
    <row r="286" spans="59:108" x14ac:dyDescent="0.2">
      <c r="BG286" s="26"/>
      <c r="BH286" s="26"/>
      <c r="BI286" s="26"/>
      <c r="BJ286" s="26"/>
      <c r="BK286" s="26"/>
      <c r="BL286" s="26"/>
      <c r="BM286" s="26"/>
      <c r="BN286" s="26"/>
      <c r="BO286" s="26"/>
      <c r="BP286" s="26"/>
      <c r="BQ286" s="26"/>
      <c r="BR286" s="26"/>
      <c r="BS286" s="26"/>
      <c r="BT286" s="26"/>
      <c r="BU286" s="26"/>
      <c r="BV286" s="26"/>
      <c r="BW286" s="26"/>
      <c r="BX286" s="26"/>
      <c r="BY286" s="26"/>
      <c r="BZ286" s="26"/>
      <c r="CA286" s="26"/>
      <c r="CB286" s="26"/>
      <c r="CC286" s="26"/>
      <c r="CD286" s="26"/>
      <c r="CE286" s="26"/>
      <c r="CF286" s="26"/>
      <c r="CG286" s="26"/>
      <c r="CH286" s="26"/>
      <c r="CI286" s="26"/>
      <c r="CJ286" s="26"/>
      <c r="CK286" s="26"/>
      <c r="CL286" s="26"/>
      <c r="CM286" s="26"/>
      <c r="CN286" s="26"/>
      <c r="CO286" s="26"/>
      <c r="CP286" s="26"/>
      <c r="CQ286" s="26"/>
      <c r="CR286" s="26"/>
      <c r="CS286" s="26"/>
      <c r="CT286" s="26"/>
      <c r="CU286" s="26"/>
      <c r="CV286" s="26"/>
      <c r="CW286" s="26"/>
      <c r="CX286" s="26"/>
      <c r="CY286" s="26"/>
      <c r="CZ286" s="26"/>
      <c r="DA286" s="26"/>
      <c r="DB286" s="26"/>
      <c r="DC286" s="26"/>
      <c r="DD286" s="26"/>
    </row>
    <row r="287" spans="59:108" x14ac:dyDescent="0.2">
      <c r="BG287" s="26"/>
      <c r="BH287" s="26"/>
      <c r="BI287" s="26"/>
      <c r="BJ287" s="26"/>
      <c r="BK287" s="26"/>
      <c r="BL287" s="26"/>
      <c r="BM287" s="26"/>
      <c r="BN287" s="26"/>
      <c r="BO287" s="26"/>
      <c r="BP287" s="26"/>
      <c r="BQ287" s="26"/>
      <c r="BR287" s="26"/>
      <c r="BS287" s="26"/>
      <c r="BT287" s="26"/>
      <c r="BU287" s="26"/>
      <c r="BV287" s="26"/>
      <c r="BW287" s="26"/>
      <c r="BX287" s="26"/>
      <c r="BY287" s="26"/>
      <c r="BZ287" s="26"/>
      <c r="CA287" s="26"/>
      <c r="CB287" s="26"/>
      <c r="CC287" s="26"/>
      <c r="CD287" s="26"/>
      <c r="CE287" s="26"/>
      <c r="CF287" s="26"/>
      <c r="CG287" s="26"/>
      <c r="CH287" s="26"/>
      <c r="CI287" s="26"/>
      <c r="CJ287" s="26"/>
      <c r="CK287" s="26"/>
      <c r="CL287" s="26"/>
      <c r="CM287" s="26"/>
      <c r="CN287" s="26"/>
      <c r="CO287" s="26"/>
      <c r="CP287" s="26"/>
      <c r="CQ287" s="26"/>
      <c r="CR287" s="26"/>
      <c r="CS287" s="26"/>
      <c r="CT287" s="26"/>
      <c r="CU287" s="26"/>
      <c r="CV287" s="26"/>
      <c r="CW287" s="26"/>
      <c r="CX287" s="26"/>
      <c r="CY287" s="26"/>
      <c r="CZ287" s="26"/>
      <c r="DA287" s="26"/>
      <c r="DB287" s="26"/>
      <c r="DC287" s="26"/>
      <c r="DD287" s="26"/>
    </row>
    <row r="288" spans="59:108" x14ac:dyDescent="0.2">
      <c r="BG288" s="26"/>
      <c r="BH288" s="26"/>
      <c r="BI288" s="26"/>
      <c r="BJ288" s="26"/>
      <c r="BK288" s="26"/>
      <c r="BL288" s="26"/>
      <c r="BM288" s="26"/>
      <c r="BN288" s="26"/>
      <c r="BO288" s="26"/>
      <c r="BP288" s="26"/>
      <c r="BQ288" s="26"/>
      <c r="BR288" s="26"/>
      <c r="BS288" s="26"/>
      <c r="BT288" s="26"/>
      <c r="BU288" s="26"/>
      <c r="BV288" s="26"/>
      <c r="BW288" s="26"/>
      <c r="BX288" s="26"/>
      <c r="BY288" s="26"/>
      <c r="BZ288" s="26"/>
      <c r="CA288" s="26"/>
      <c r="CB288" s="26"/>
      <c r="CC288" s="26"/>
      <c r="CD288" s="26"/>
      <c r="CE288" s="26"/>
      <c r="CF288" s="26"/>
      <c r="CG288" s="26"/>
      <c r="CH288" s="26"/>
      <c r="CI288" s="26"/>
      <c r="CJ288" s="26"/>
      <c r="CK288" s="26"/>
      <c r="CL288" s="26"/>
      <c r="CM288" s="26"/>
      <c r="CN288" s="26"/>
      <c r="CO288" s="26"/>
      <c r="CP288" s="26"/>
      <c r="CQ288" s="26"/>
      <c r="CR288" s="26"/>
      <c r="CS288" s="26"/>
      <c r="CT288" s="26"/>
      <c r="CU288" s="26"/>
      <c r="CV288" s="26"/>
      <c r="CW288" s="26"/>
      <c r="CX288" s="26"/>
      <c r="CY288" s="26"/>
      <c r="CZ288" s="26"/>
      <c r="DA288" s="26"/>
      <c r="DB288" s="26"/>
      <c r="DC288" s="26"/>
      <c r="DD288" s="26"/>
    </row>
    <row r="289" spans="59:108" x14ac:dyDescent="0.2">
      <c r="BG289" s="26"/>
      <c r="BH289" s="26"/>
      <c r="BI289" s="26"/>
      <c r="BJ289" s="26"/>
      <c r="BK289" s="26"/>
      <c r="BL289" s="26"/>
      <c r="BM289" s="26"/>
      <c r="BN289" s="26"/>
      <c r="BO289" s="26"/>
      <c r="BP289" s="26"/>
      <c r="BQ289" s="26"/>
      <c r="BR289" s="26"/>
      <c r="BS289" s="26"/>
      <c r="BT289" s="26"/>
      <c r="BU289" s="26"/>
      <c r="BV289" s="26"/>
      <c r="BW289" s="26"/>
      <c r="BX289" s="26"/>
      <c r="BY289" s="26"/>
      <c r="BZ289" s="26"/>
      <c r="CA289" s="26"/>
      <c r="CB289" s="26"/>
      <c r="CC289" s="26"/>
      <c r="CD289" s="26"/>
      <c r="CE289" s="26"/>
      <c r="CF289" s="26"/>
      <c r="CG289" s="26"/>
      <c r="CH289" s="26"/>
      <c r="CI289" s="26"/>
      <c r="CJ289" s="26"/>
      <c r="CK289" s="26"/>
      <c r="CL289" s="26"/>
      <c r="CM289" s="26"/>
      <c r="CN289" s="26"/>
      <c r="CO289" s="26"/>
      <c r="CP289" s="26"/>
      <c r="CQ289" s="26"/>
      <c r="CR289" s="26"/>
      <c r="CS289" s="26"/>
      <c r="CT289" s="26"/>
      <c r="CU289" s="26"/>
      <c r="CV289" s="26"/>
      <c r="CW289" s="26"/>
      <c r="CX289" s="26"/>
      <c r="CY289" s="26"/>
      <c r="CZ289" s="26"/>
      <c r="DA289" s="26"/>
      <c r="DB289" s="26"/>
      <c r="DC289" s="26"/>
      <c r="DD289" s="26"/>
    </row>
    <row r="290" spans="59:108" x14ac:dyDescent="0.2">
      <c r="BG290" s="26"/>
      <c r="BH290" s="26"/>
      <c r="BI290" s="26"/>
      <c r="BJ290" s="26"/>
      <c r="BK290" s="26"/>
      <c r="BL290" s="26"/>
      <c r="BM290" s="26"/>
      <c r="BN290" s="26"/>
      <c r="BO290" s="26"/>
      <c r="BP290" s="26"/>
      <c r="BQ290" s="26"/>
      <c r="BR290" s="26"/>
      <c r="BS290" s="26"/>
      <c r="BT290" s="26"/>
      <c r="BU290" s="26"/>
      <c r="BV290" s="26"/>
      <c r="BW290" s="26"/>
      <c r="BX290" s="26"/>
      <c r="BY290" s="26"/>
      <c r="BZ290" s="26"/>
      <c r="CA290" s="26"/>
      <c r="CB290" s="26"/>
      <c r="CC290" s="26"/>
      <c r="CD290" s="26"/>
      <c r="CE290" s="26"/>
      <c r="CF290" s="26"/>
      <c r="CG290" s="26"/>
      <c r="CH290" s="26"/>
      <c r="CI290" s="26"/>
      <c r="CJ290" s="26"/>
      <c r="CK290" s="26"/>
      <c r="CL290" s="26"/>
      <c r="CM290" s="26"/>
      <c r="CN290" s="26"/>
      <c r="CO290" s="26"/>
      <c r="CP290" s="26"/>
      <c r="CQ290" s="26"/>
      <c r="CR290" s="26"/>
      <c r="CS290" s="26"/>
      <c r="CT290" s="26"/>
      <c r="CU290" s="26"/>
      <c r="CV290" s="26"/>
      <c r="CW290" s="26"/>
      <c r="CX290" s="26"/>
      <c r="CY290" s="26"/>
      <c r="CZ290" s="26"/>
      <c r="DA290" s="26"/>
      <c r="DB290" s="26"/>
      <c r="DC290" s="26"/>
      <c r="DD290" s="26"/>
    </row>
    <row r="291" spans="59:108" x14ac:dyDescent="0.2">
      <c r="BG291" s="26"/>
      <c r="BH291" s="26"/>
      <c r="BI291" s="26"/>
      <c r="BJ291" s="26"/>
      <c r="BK291" s="26"/>
      <c r="BL291" s="26"/>
      <c r="BM291" s="26"/>
      <c r="BN291" s="26"/>
      <c r="BO291" s="26"/>
      <c r="BP291" s="26"/>
      <c r="BQ291" s="26"/>
      <c r="BR291" s="26"/>
      <c r="BS291" s="26"/>
      <c r="BT291" s="26"/>
      <c r="BU291" s="26"/>
      <c r="BV291" s="26"/>
      <c r="BW291" s="26"/>
      <c r="BX291" s="26"/>
      <c r="BY291" s="26"/>
      <c r="BZ291" s="26"/>
      <c r="CA291" s="26"/>
      <c r="CB291" s="26"/>
      <c r="CC291" s="26"/>
      <c r="CD291" s="26"/>
      <c r="CE291" s="26"/>
      <c r="CF291" s="26"/>
      <c r="CG291" s="26"/>
      <c r="CH291" s="26"/>
      <c r="CI291" s="26"/>
      <c r="CJ291" s="26"/>
      <c r="CK291" s="26"/>
      <c r="CL291" s="26"/>
      <c r="CM291" s="26"/>
      <c r="CN291" s="26"/>
      <c r="CO291" s="26"/>
      <c r="CP291" s="26"/>
      <c r="CQ291" s="26"/>
      <c r="CR291" s="26"/>
      <c r="CS291" s="26"/>
      <c r="CT291" s="26"/>
      <c r="CU291" s="26"/>
      <c r="CV291" s="26"/>
      <c r="CW291" s="26"/>
      <c r="CX291" s="26"/>
      <c r="CY291" s="26"/>
      <c r="CZ291" s="26"/>
      <c r="DA291" s="26"/>
      <c r="DB291" s="26"/>
      <c r="DC291" s="26"/>
      <c r="DD291" s="26"/>
    </row>
    <row r="292" spans="59:108" x14ac:dyDescent="0.2">
      <c r="BG292" s="26"/>
      <c r="BH292" s="26"/>
      <c r="BI292" s="26"/>
      <c r="BJ292" s="26"/>
      <c r="BK292" s="26"/>
      <c r="BL292" s="26"/>
      <c r="BM292" s="26"/>
      <c r="BN292" s="26"/>
      <c r="BO292" s="26"/>
      <c r="BP292" s="26"/>
      <c r="BQ292" s="26"/>
      <c r="BR292" s="26"/>
      <c r="BS292" s="26"/>
      <c r="BT292" s="26"/>
      <c r="BU292" s="26"/>
      <c r="BV292" s="26"/>
      <c r="BW292" s="26"/>
      <c r="BX292" s="26"/>
      <c r="BY292" s="26"/>
      <c r="BZ292" s="26"/>
      <c r="CA292" s="26"/>
      <c r="CB292" s="26"/>
      <c r="CC292" s="26"/>
      <c r="CD292" s="26"/>
      <c r="CE292" s="26"/>
      <c r="CF292" s="26"/>
      <c r="CG292" s="26"/>
      <c r="CH292" s="26"/>
      <c r="CI292" s="26"/>
      <c r="CJ292" s="26"/>
      <c r="CK292" s="26"/>
      <c r="CL292" s="26"/>
      <c r="CM292" s="26"/>
      <c r="CN292" s="26"/>
      <c r="CO292" s="26"/>
      <c r="CP292" s="26"/>
      <c r="CQ292" s="26"/>
      <c r="CR292" s="26"/>
      <c r="CS292" s="26"/>
      <c r="CT292" s="26"/>
      <c r="CU292" s="26"/>
      <c r="CV292" s="26"/>
      <c r="CW292" s="26"/>
      <c r="CX292" s="26"/>
      <c r="CY292" s="26"/>
      <c r="CZ292" s="26"/>
      <c r="DA292" s="26"/>
      <c r="DB292" s="26"/>
      <c r="DC292" s="26"/>
      <c r="DD292" s="26"/>
    </row>
    <row r="293" spans="59:108" x14ac:dyDescent="0.2">
      <c r="BG293" s="26"/>
      <c r="BH293" s="26"/>
      <c r="BI293" s="26"/>
      <c r="BJ293" s="26"/>
      <c r="BK293" s="26"/>
      <c r="BL293" s="26"/>
      <c r="BM293" s="26"/>
      <c r="BN293" s="26"/>
      <c r="BO293" s="26"/>
      <c r="BP293" s="26"/>
      <c r="BQ293" s="26"/>
      <c r="BR293" s="26"/>
      <c r="BS293" s="26"/>
      <c r="BT293" s="26"/>
      <c r="BU293" s="26"/>
      <c r="BV293" s="26"/>
      <c r="BW293" s="26"/>
      <c r="BX293" s="26"/>
      <c r="BY293" s="26"/>
      <c r="BZ293" s="26"/>
      <c r="CA293" s="26"/>
      <c r="CB293" s="26"/>
      <c r="CC293" s="26"/>
      <c r="CD293" s="26"/>
      <c r="CE293" s="26"/>
      <c r="CF293" s="26"/>
      <c r="CG293" s="26"/>
      <c r="CH293" s="26"/>
      <c r="CI293" s="26"/>
      <c r="CJ293" s="26"/>
      <c r="CK293" s="26"/>
      <c r="CL293" s="26"/>
      <c r="CM293" s="26"/>
      <c r="CN293" s="26"/>
      <c r="CO293" s="26"/>
      <c r="CP293" s="26"/>
      <c r="CQ293" s="26"/>
      <c r="CR293" s="26"/>
      <c r="CS293" s="26"/>
      <c r="CT293" s="26"/>
      <c r="CU293" s="26"/>
      <c r="CV293" s="26"/>
      <c r="CW293" s="26"/>
      <c r="CX293" s="26"/>
      <c r="CY293" s="26"/>
      <c r="CZ293" s="26"/>
      <c r="DA293" s="26"/>
      <c r="DB293" s="26"/>
      <c r="DC293" s="26"/>
      <c r="DD293" s="26"/>
    </row>
    <row r="294" spans="59:108" x14ac:dyDescent="0.2">
      <c r="BG294" s="26"/>
      <c r="BH294" s="26"/>
      <c r="BI294" s="26"/>
      <c r="BJ294" s="26"/>
      <c r="BK294" s="26"/>
      <c r="BL294" s="26"/>
      <c r="BM294" s="26"/>
      <c r="BN294" s="26"/>
      <c r="BO294" s="26"/>
      <c r="BP294" s="26"/>
      <c r="BQ294" s="26"/>
      <c r="BR294" s="26"/>
      <c r="BS294" s="26"/>
      <c r="BT294" s="26"/>
      <c r="BU294" s="26"/>
      <c r="BV294" s="26"/>
      <c r="BW294" s="26"/>
      <c r="BX294" s="26"/>
      <c r="BY294" s="26"/>
      <c r="BZ294" s="26"/>
      <c r="CA294" s="26"/>
      <c r="CB294" s="26"/>
      <c r="CC294" s="26"/>
      <c r="CD294" s="26"/>
      <c r="CE294" s="26"/>
      <c r="CF294" s="26"/>
      <c r="CG294" s="26"/>
      <c r="CH294" s="26"/>
      <c r="CI294" s="26"/>
      <c r="CJ294" s="26"/>
      <c r="CK294" s="26"/>
      <c r="CL294" s="26"/>
      <c r="CM294" s="26"/>
      <c r="CN294" s="26"/>
      <c r="CO294" s="26"/>
      <c r="CP294" s="26"/>
      <c r="CQ294" s="26"/>
      <c r="CR294" s="26"/>
      <c r="CS294" s="26"/>
      <c r="CT294" s="26"/>
      <c r="CU294" s="26"/>
      <c r="CV294" s="26"/>
      <c r="CW294" s="26"/>
      <c r="CX294" s="26"/>
      <c r="CY294" s="26"/>
      <c r="CZ294" s="26"/>
      <c r="DA294" s="26"/>
      <c r="DB294" s="26"/>
      <c r="DC294" s="26"/>
      <c r="DD294" s="26"/>
    </row>
    <row r="295" spans="59:108" x14ac:dyDescent="0.2">
      <c r="BG295" s="26"/>
      <c r="BH295" s="26"/>
      <c r="BI295" s="26"/>
      <c r="BJ295" s="26"/>
      <c r="BK295" s="26"/>
      <c r="BL295" s="26"/>
      <c r="BM295" s="26"/>
      <c r="BN295" s="26"/>
      <c r="BO295" s="26"/>
      <c r="BP295" s="26"/>
      <c r="BQ295" s="26"/>
      <c r="BR295" s="26"/>
      <c r="BS295" s="26"/>
      <c r="BT295" s="26"/>
      <c r="BU295" s="26"/>
      <c r="BV295" s="26"/>
      <c r="BW295" s="26"/>
      <c r="BX295" s="26"/>
      <c r="BY295" s="26"/>
      <c r="BZ295" s="26"/>
      <c r="CA295" s="26"/>
      <c r="CB295" s="26"/>
      <c r="CC295" s="26"/>
      <c r="CD295" s="26"/>
      <c r="CE295" s="26"/>
      <c r="CF295" s="26"/>
      <c r="CG295" s="26"/>
      <c r="CH295" s="26"/>
      <c r="CI295" s="26"/>
      <c r="CJ295" s="26"/>
      <c r="CK295" s="26"/>
      <c r="CL295" s="26"/>
      <c r="CM295" s="26"/>
      <c r="CN295" s="26"/>
      <c r="CO295" s="26"/>
      <c r="CP295" s="26"/>
      <c r="CQ295" s="26"/>
      <c r="CR295" s="26"/>
      <c r="CS295" s="26"/>
      <c r="CT295" s="26"/>
      <c r="CU295" s="26"/>
      <c r="CV295" s="26"/>
      <c r="CW295" s="26"/>
      <c r="CX295" s="26"/>
      <c r="CY295" s="26"/>
      <c r="CZ295" s="26"/>
      <c r="DA295" s="26"/>
      <c r="DB295" s="26"/>
      <c r="DC295" s="26"/>
      <c r="DD295" s="26"/>
    </row>
    <row r="296" spans="59:108" x14ac:dyDescent="0.2">
      <c r="BG296" s="26"/>
      <c r="BH296" s="26"/>
      <c r="BI296" s="26"/>
      <c r="BJ296" s="26"/>
      <c r="BK296" s="26"/>
      <c r="BL296" s="26"/>
      <c r="BM296" s="26"/>
      <c r="BN296" s="26"/>
      <c r="BO296" s="26"/>
      <c r="BP296" s="26"/>
      <c r="BQ296" s="26"/>
      <c r="BR296" s="26"/>
      <c r="BS296" s="26"/>
      <c r="BT296" s="26"/>
      <c r="BU296" s="26"/>
      <c r="BV296" s="26"/>
      <c r="BW296" s="26"/>
      <c r="BX296" s="26"/>
      <c r="BY296" s="26"/>
      <c r="BZ296" s="26"/>
      <c r="CA296" s="26"/>
      <c r="CB296" s="26"/>
      <c r="CC296" s="26"/>
      <c r="CD296" s="26"/>
      <c r="CE296" s="26"/>
      <c r="CF296" s="26"/>
      <c r="CG296" s="26"/>
      <c r="CH296" s="26"/>
      <c r="CI296" s="26"/>
      <c r="CJ296" s="26"/>
      <c r="CK296" s="26"/>
      <c r="CL296" s="26"/>
      <c r="CM296" s="26"/>
      <c r="CN296" s="26"/>
      <c r="CO296" s="26"/>
      <c r="CP296" s="26"/>
      <c r="CQ296" s="26"/>
      <c r="CR296" s="26"/>
      <c r="CS296" s="26"/>
      <c r="CT296" s="26"/>
      <c r="CU296" s="26"/>
      <c r="CV296" s="26"/>
      <c r="CW296" s="26"/>
      <c r="CX296" s="26"/>
      <c r="CY296" s="26"/>
      <c r="CZ296" s="26"/>
      <c r="DA296" s="26"/>
      <c r="DB296" s="26"/>
      <c r="DC296" s="26"/>
      <c r="DD296" s="26"/>
    </row>
    <row r="297" spans="59:108" x14ac:dyDescent="0.2">
      <c r="BG297" s="26"/>
      <c r="BH297" s="26"/>
      <c r="BI297" s="26"/>
      <c r="BJ297" s="26"/>
      <c r="BK297" s="26"/>
      <c r="BL297" s="26"/>
      <c r="BM297" s="26"/>
      <c r="BN297" s="26"/>
      <c r="BO297" s="26"/>
      <c r="BP297" s="26"/>
      <c r="BQ297" s="26"/>
      <c r="BR297" s="26"/>
      <c r="BS297" s="26"/>
      <c r="BT297" s="26"/>
      <c r="BU297" s="26"/>
      <c r="BV297" s="26"/>
      <c r="BW297" s="26"/>
      <c r="BX297" s="26"/>
      <c r="BY297" s="26"/>
      <c r="BZ297" s="26"/>
      <c r="CA297" s="26"/>
      <c r="CB297" s="26"/>
      <c r="CC297" s="26"/>
      <c r="CD297" s="26"/>
      <c r="CE297" s="26"/>
      <c r="CF297" s="26"/>
      <c r="CG297" s="26"/>
      <c r="CH297" s="26"/>
      <c r="CI297" s="26"/>
      <c r="CJ297" s="26"/>
      <c r="CK297" s="26"/>
      <c r="CL297" s="26"/>
      <c r="CM297" s="26"/>
      <c r="CN297" s="26"/>
      <c r="CO297" s="26"/>
      <c r="CP297" s="26"/>
      <c r="CQ297" s="26"/>
      <c r="CR297" s="26"/>
      <c r="CS297" s="26"/>
      <c r="CT297" s="26"/>
      <c r="CU297" s="26"/>
      <c r="CV297" s="26"/>
      <c r="CW297" s="26"/>
      <c r="CX297" s="26"/>
      <c r="CY297" s="26"/>
      <c r="CZ297" s="26"/>
      <c r="DA297" s="26"/>
      <c r="DB297" s="26"/>
      <c r="DC297" s="26"/>
      <c r="DD297" s="26"/>
    </row>
    <row r="298" spans="59:108" x14ac:dyDescent="0.2">
      <c r="BG298" s="26"/>
      <c r="BH298" s="26"/>
      <c r="BI298" s="26"/>
      <c r="BJ298" s="26"/>
      <c r="BK298" s="26"/>
      <c r="BL298" s="26"/>
      <c r="BM298" s="26"/>
      <c r="BN298" s="26"/>
      <c r="BO298" s="26"/>
      <c r="BP298" s="26"/>
      <c r="BQ298" s="26"/>
      <c r="BR298" s="26"/>
      <c r="BS298" s="26"/>
      <c r="BT298" s="26"/>
      <c r="BU298" s="26"/>
      <c r="BV298" s="26"/>
      <c r="BW298" s="26"/>
      <c r="BX298" s="26"/>
      <c r="BY298" s="26"/>
      <c r="BZ298" s="26"/>
      <c r="CA298" s="26"/>
      <c r="CB298" s="26"/>
      <c r="CC298" s="26"/>
      <c r="CD298" s="26"/>
      <c r="CE298" s="26"/>
      <c r="CF298" s="26"/>
      <c r="CG298" s="26"/>
      <c r="CH298" s="26"/>
      <c r="CI298" s="26"/>
      <c r="CJ298" s="26"/>
      <c r="CK298" s="26"/>
      <c r="CL298" s="26"/>
      <c r="CM298" s="26"/>
      <c r="CN298" s="26"/>
      <c r="CO298" s="26"/>
      <c r="CP298" s="26"/>
      <c r="CQ298" s="26"/>
      <c r="CR298" s="26"/>
      <c r="CS298" s="26"/>
      <c r="CT298" s="26"/>
      <c r="CU298" s="26"/>
      <c r="CV298" s="26"/>
      <c r="CW298" s="26"/>
      <c r="CX298" s="26"/>
      <c r="CY298" s="26"/>
      <c r="CZ298" s="26"/>
      <c r="DA298" s="26"/>
      <c r="DB298" s="26"/>
      <c r="DC298" s="26"/>
      <c r="DD298" s="26"/>
    </row>
    <row r="299" spans="59:108" x14ac:dyDescent="0.2">
      <c r="BG299" s="26"/>
      <c r="BH299" s="26"/>
      <c r="BI299" s="26"/>
      <c r="BJ299" s="26"/>
      <c r="BK299" s="26"/>
      <c r="BL299" s="26"/>
      <c r="BM299" s="26"/>
      <c r="BN299" s="26"/>
      <c r="BO299" s="26"/>
      <c r="BP299" s="26"/>
      <c r="BQ299" s="26"/>
      <c r="BR299" s="26"/>
      <c r="BS299" s="26"/>
      <c r="BT299" s="26"/>
      <c r="BU299" s="26"/>
      <c r="BV299" s="26"/>
      <c r="BW299" s="26"/>
      <c r="BX299" s="26"/>
      <c r="BY299" s="26"/>
      <c r="BZ299" s="26"/>
      <c r="CA299" s="26"/>
      <c r="CB299" s="26"/>
      <c r="CC299" s="26"/>
      <c r="CD299" s="26"/>
      <c r="CE299" s="26"/>
      <c r="CF299" s="26"/>
      <c r="CG299" s="26"/>
      <c r="CH299" s="26"/>
      <c r="CI299" s="26"/>
      <c r="CJ299" s="26"/>
      <c r="CK299" s="26"/>
      <c r="CL299" s="26"/>
      <c r="CM299" s="26"/>
      <c r="CN299" s="26"/>
      <c r="CO299" s="26"/>
      <c r="CP299" s="26"/>
      <c r="CQ299" s="26"/>
      <c r="CR299" s="26"/>
      <c r="CS299" s="26"/>
      <c r="CT299" s="26"/>
      <c r="CU299" s="26"/>
      <c r="CV299" s="26"/>
      <c r="CW299" s="26"/>
      <c r="CX299" s="26"/>
      <c r="CY299" s="26"/>
      <c r="CZ299" s="26"/>
      <c r="DA299" s="26"/>
      <c r="DB299" s="26"/>
      <c r="DC299" s="26"/>
      <c r="DD299" s="26"/>
    </row>
    <row r="300" spans="59:108" x14ac:dyDescent="0.2">
      <c r="BG300" s="26"/>
      <c r="BH300" s="26"/>
      <c r="BI300" s="26"/>
      <c r="BJ300" s="26"/>
      <c r="BK300" s="26"/>
      <c r="BL300" s="26"/>
      <c r="BM300" s="26"/>
      <c r="BN300" s="26"/>
      <c r="BO300" s="26"/>
      <c r="BP300" s="26"/>
      <c r="BQ300" s="26"/>
      <c r="BR300" s="26"/>
      <c r="BS300" s="26"/>
      <c r="BT300" s="26"/>
      <c r="BU300" s="26"/>
      <c r="BV300" s="26"/>
      <c r="BW300" s="26"/>
      <c r="BX300" s="26"/>
      <c r="BY300" s="26"/>
      <c r="BZ300" s="26"/>
      <c r="CA300" s="26"/>
      <c r="CB300" s="26"/>
      <c r="CC300" s="26"/>
      <c r="CD300" s="26"/>
      <c r="CE300" s="26"/>
      <c r="CF300" s="26"/>
      <c r="CG300" s="26"/>
      <c r="CH300" s="26"/>
      <c r="CI300" s="26"/>
      <c r="CJ300" s="26"/>
      <c r="CK300" s="26"/>
      <c r="CL300" s="26"/>
      <c r="CM300" s="26"/>
      <c r="CN300" s="26"/>
      <c r="CO300" s="26"/>
      <c r="CP300" s="26"/>
      <c r="CQ300" s="26"/>
      <c r="CR300" s="26"/>
      <c r="CS300" s="26"/>
      <c r="CT300" s="26"/>
      <c r="CU300" s="26"/>
      <c r="CV300" s="26"/>
      <c r="CW300" s="26"/>
      <c r="CX300" s="26"/>
      <c r="CY300" s="26"/>
      <c r="CZ300" s="26"/>
      <c r="DA300" s="26"/>
      <c r="DB300" s="26"/>
      <c r="DC300" s="26"/>
      <c r="DD300" s="26"/>
    </row>
    <row r="301" spans="59:108" x14ac:dyDescent="0.2">
      <c r="BG301" s="26"/>
      <c r="BH301" s="26"/>
      <c r="BI301" s="26"/>
      <c r="BJ301" s="26"/>
      <c r="BK301" s="26"/>
      <c r="BL301" s="26"/>
      <c r="BM301" s="26"/>
      <c r="BN301" s="26"/>
      <c r="BO301" s="26"/>
      <c r="BP301" s="26"/>
      <c r="BQ301" s="26"/>
      <c r="BR301" s="26"/>
      <c r="BS301" s="26"/>
      <c r="BT301" s="26"/>
      <c r="BU301" s="26"/>
      <c r="BV301" s="26"/>
      <c r="BW301" s="26"/>
      <c r="BX301" s="26"/>
      <c r="BY301" s="26"/>
      <c r="BZ301" s="26"/>
      <c r="CA301" s="26"/>
      <c r="CB301" s="26"/>
      <c r="CC301" s="26"/>
      <c r="CD301" s="26"/>
      <c r="CE301" s="26"/>
      <c r="CF301" s="26"/>
      <c r="CG301" s="26"/>
      <c r="CH301" s="26"/>
      <c r="CI301" s="26"/>
      <c r="CJ301" s="26"/>
      <c r="CK301" s="26"/>
      <c r="CL301" s="26"/>
      <c r="CM301" s="26"/>
      <c r="CN301" s="26"/>
      <c r="CO301" s="26"/>
      <c r="CP301" s="26"/>
      <c r="CQ301" s="26"/>
      <c r="CR301" s="26"/>
      <c r="CS301" s="26"/>
      <c r="CT301" s="26"/>
      <c r="CU301" s="26"/>
      <c r="CV301" s="26"/>
      <c r="CW301" s="26"/>
      <c r="CX301" s="26"/>
      <c r="CY301" s="26"/>
      <c r="CZ301" s="26"/>
      <c r="DA301" s="26"/>
      <c r="DB301" s="26"/>
      <c r="DC301" s="26"/>
      <c r="DD301" s="26"/>
    </row>
    <row r="302" spans="59:108" x14ac:dyDescent="0.2">
      <c r="BG302" s="26"/>
      <c r="BH302" s="26"/>
      <c r="BI302" s="26"/>
      <c r="BJ302" s="26"/>
      <c r="BK302" s="26"/>
      <c r="BL302" s="26"/>
      <c r="BM302" s="26"/>
      <c r="BN302" s="26"/>
      <c r="BO302" s="26"/>
      <c r="BP302" s="26"/>
      <c r="BQ302" s="26"/>
      <c r="BR302" s="26"/>
      <c r="BS302" s="26"/>
      <c r="BT302" s="26"/>
      <c r="BU302" s="26"/>
      <c r="BV302" s="26"/>
      <c r="BW302" s="26"/>
      <c r="BX302" s="26"/>
      <c r="BY302" s="26"/>
      <c r="BZ302" s="26"/>
      <c r="CA302" s="26"/>
      <c r="CB302" s="26"/>
      <c r="CC302" s="26"/>
      <c r="CD302" s="26"/>
      <c r="CE302" s="26"/>
      <c r="CF302" s="26"/>
      <c r="CG302" s="26"/>
      <c r="CH302" s="26"/>
      <c r="CI302" s="26"/>
      <c r="CJ302" s="26"/>
      <c r="CK302" s="26"/>
      <c r="CL302" s="26"/>
      <c r="CM302" s="26"/>
      <c r="CN302" s="26"/>
      <c r="CO302" s="26"/>
      <c r="CP302" s="26"/>
      <c r="CQ302" s="26"/>
      <c r="CR302" s="26"/>
      <c r="CS302" s="26"/>
      <c r="CT302" s="26"/>
      <c r="CU302" s="26"/>
      <c r="CV302" s="26"/>
      <c r="CW302" s="26"/>
      <c r="CX302" s="26"/>
      <c r="CY302" s="26"/>
      <c r="CZ302" s="26"/>
      <c r="DA302" s="26"/>
      <c r="DB302" s="26"/>
      <c r="DC302" s="26"/>
      <c r="DD302" s="26"/>
    </row>
    <row r="303" spans="59:108" x14ac:dyDescent="0.2">
      <c r="BG303" s="26"/>
      <c r="BH303" s="26"/>
      <c r="BI303" s="26"/>
      <c r="BJ303" s="26"/>
      <c r="BK303" s="26"/>
      <c r="BL303" s="26"/>
      <c r="BM303" s="26"/>
      <c r="BN303" s="26"/>
      <c r="BO303" s="26"/>
      <c r="BP303" s="26"/>
      <c r="BQ303" s="26"/>
      <c r="BR303" s="26"/>
      <c r="BS303" s="26"/>
      <c r="BT303" s="26"/>
      <c r="BU303" s="26"/>
      <c r="BV303" s="26"/>
      <c r="BW303" s="26"/>
      <c r="BX303" s="26"/>
      <c r="BY303" s="26"/>
      <c r="BZ303" s="26"/>
      <c r="CA303" s="26"/>
      <c r="CB303" s="26"/>
      <c r="CC303" s="26"/>
      <c r="CD303" s="26"/>
      <c r="CE303" s="26"/>
      <c r="CF303" s="26"/>
      <c r="CG303" s="26"/>
      <c r="CH303" s="26"/>
      <c r="CI303" s="26"/>
      <c r="CJ303" s="26"/>
      <c r="CK303" s="26"/>
      <c r="CL303" s="26"/>
      <c r="CM303" s="26"/>
      <c r="CN303" s="26"/>
      <c r="CO303" s="26"/>
      <c r="CP303" s="26"/>
      <c r="CQ303" s="26"/>
      <c r="CR303" s="26"/>
      <c r="CS303" s="26"/>
      <c r="CT303" s="26"/>
      <c r="CU303" s="26"/>
      <c r="CV303" s="26"/>
      <c r="CW303" s="26"/>
      <c r="CX303" s="26"/>
      <c r="CY303" s="26"/>
      <c r="CZ303" s="26"/>
      <c r="DA303" s="26"/>
      <c r="DB303" s="26"/>
      <c r="DC303" s="26"/>
      <c r="DD303" s="26"/>
    </row>
    <row r="304" spans="59:108" x14ac:dyDescent="0.2">
      <c r="BG304" s="26"/>
      <c r="BH304" s="26"/>
      <c r="BI304" s="26"/>
      <c r="BJ304" s="26"/>
      <c r="BK304" s="26"/>
      <c r="BL304" s="26"/>
      <c r="BM304" s="26"/>
      <c r="BN304" s="26"/>
      <c r="BO304" s="26"/>
      <c r="BP304" s="26"/>
      <c r="BQ304" s="26"/>
      <c r="BR304" s="26"/>
      <c r="BS304" s="26"/>
      <c r="BT304" s="26"/>
      <c r="BU304" s="26"/>
      <c r="BV304" s="26"/>
      <c r="BW304" s="26"/>
      <c r="BX304" s="26"/>
      <c r="BY304" s="26"/>
      <c r="BZ304" s="26"/>
      <c r="CA304" s="26"/>
      <c r="CB304" s="26"/>
      <c r="CC304" s="26"/>
      <c r="CD304" s="26"/>
      <c r="CE304" s="26"/>
      <c r="CF304" s="26"/>
      <c r="CG304" s="26"/>
      <c r="CH304" s="26"/>
      <c r="CI304" s="26"/>
      <c r="CJ304" s="26"/>
      <c r="CK304" s="26"/>
      <c r="CL304" s="26"/>
      <c r="CM304" s="26"/>
      <c r="CN304" s="26"/>
      <c r="CO304" s="26"/>
      <c r="CP304" s="26"/>
      <c r="CQ304" s="26"/>
      <c r="CR304" s="26"/>
      <c r="CS304" s="26"/>
      <c r="CT304" s="26"/>
      <c r="CU304" s="26"/>
      <c r="CV304" s="26"/>
      <c r="CW304" s="26"/>
      <c r="CX304" s="26"/>
      <c r="CY304" s="26"/>
      <c r="CZ304" s="26"/>
      <c r="DA304" s="26"/>
      <c r="DB304" s="26"/>
      <c r="DC304" s="26"/>
      <c r="DD304" s="26"/>
    </row>
    <row r="305" spans="59:108" x14ac:dyDescent="0.2">
      <c r="BG305" s="26"/>
      <c r="BH305" s="26"/>
      <c r="BI305" s="26"/>
      <c r="BJ305" s="26"/>
      <c r="BK305" s="26"/>
      <c r="BL305" s="26"/>
      <c r="BM305" s="26"/>
      <c r="BN305" s="26"/>
      <c r="BO305" s="26"/>
      <c r="BP305" s="26"/>
      <c r="BQ305" s="26"/>
      <c r="BR305" s="26"/>
      <c r="BS305" s="26"/>
      <c r="BT305" s="26"/>
      <c r="BU305" s="26"/>
      <c r="BV305" s="26"/>
      <c r="BW305" s="26"/>
      <c r="BX305" s="26"/>
      <c r="BY305" s="26"/>
      <c r="BZ305" s="26"/>
      <c r="CA305" s="26"/>
      <c r="CB305" s="26"/>
      <c r="CC305" s="26"/>
      <c r="CD305" s="26"/>
      <c r="CE305" s="26"/>
      <c r="CF305" s="26"/>
      <c r="CG305" s="26"/>
      <c r="CH305" s="26"/>
      <c r="CI305" s="26"/>
      <c r="CJ305" s="26"/>
      <c r="CK305" s="26"/>
      <c r="CL305" s="26"/>
      <c r="CM305" s="26"/>
      <c r="CN305" s="26"/>
      <c r="CO305" s="26"/>
      <c r="CP305" s="26"/>
      <c r="CQ305" s="26"/>
      <c r="CR305" s="26"/>
      <c r="CS305" s="26"/>
      <c r="CT305" s="26"/>
      <c r="CU305" s="26"/>
      <c r="CV305" s="26"/>
      <c r="CW305" s="26"/>
      <c r="CX305" s="26"/>
      <c r="CY305" s="26"/>
      <c r="CZ305" s="26"/>
      <c r="DA305" s="26"/>
      <c r="DB305" s="26"/>
      <c r="DC305" s="26"/>
      <c r="DD305" s="26"/>
    </row>
    <row r="306" spans="59:108" x14ac:dyDescent="0.2">
      <c r="BG306" s="26"/>
      <c r="BH306" s="26"/>
      <c r="BI306" s="26"/>
      <c r="BJ306" s="26"/>
      <c r="BK306" s="26"/>
      <c r="BL306" s="26"/>
      <c r="BM306" s="26"/>
      <c r="BN306" s="26"/>
      <c r="BO306" s="26"/>
      <c r="BP306" s="26"/>
      <c r="BQ306" s="26"/>
      <c r="BR306" s="26"/>
      <c r="BS306" s="26"/>
      <c r="BT306" s="26"/>
      <c r="BU306" s="26"/>
      <c r="BV306" s="26"/>
      <c r="BW306" s="26"/>
      <c r="BX306" s="26"/>
      <c r="BY306" s="26"/>
      <c r="BZ306" s="26"/>
      <c r="CA306" s="26"/>
      <c r="CB306" s="26"/>
      <c r="CC306" s="26"/>
      <c r="CD306" s="26"/>
      <c r="CE306" s="26"/>
      <c r="CF306" s="26"/>
      <c r="CG306" s="26"/>
      <c r="CH306" s="26"/>
      <c r="CI306" s="26"/>
      <c r="CJ306" s="26"/>
      <c r="CK306" s="26"/>
      <c r="CL306" s="26"/>
      <c r="CM306" s="26"/>
      <c r="CN306" s="26"/>
      <c r="CO306" s="26"/>
      <c r="CP306" s="26"/>
      <c r="CQ306" s="26"/>
      <c r="CR306" s="26"/>
      <c r="CS306" s="26"/>
      <c r="CT306" s="26"/>
      <c r="CU306" s="26"/>
      <c r="CV306" s="26"/>
      <c r="CW306" s="26"/>
      <c r="CX306" s="26"/>
      <c r="CY306" s="26"/>
      <c r="CZ306" s="26"/>
      <c r="DA306" s="26"/>
      <c r="DB306" s="26"/>
      <c r="DC306" s="26"/>
      <c r="DD306" s="26"/>
    </row>
    <row r="307" spans="59:108" x14ac:dyDescent="0.2">
      <c r="BG307" s="26"/>
      <c r="BH307" s="26"/>
      <c r="BI307" s="26"/>
      <c r="BJ307" s="26"/>
      <c r="BK307" s="26"/>
      <c r="BL307" s="26"/>
      <c r="BM307" s="26"/>
      <c r="BN307" s="26"/>
      <c r="BO307" s="26"/>
      <c r="BP307" s="26"/>
      <c r="BQ307" s="26"/>
      <c r="BR307" s="26"/>
      <c r="BS307" s="26"/>
      <c r="BT307" s="26"/>
      <c r="BU307" s="26"/>
      <c r="BV307" s="26"/>
      <c r="BW307" s="26"/>
      <c r="BX307" s="26"/>
      <c r="BY307" s="26"/>
      <c r="BZ307" s="26"/>
      <c r="CA307" s="26"/>
      <c r="CB307" s="26"/>
      <c r="CC307" s="26"/>
      <c r="CD307" s="26"/>
      <c r="CE307" s="26"/>
      <c r="CF307" s="26"/>
      <c r="CG307" s="26"/>
      <c r="CH307" s="26"/>
      <c r="CI307" s="26"/>
      <c r="CJ307" s="26"/>
      <c r="CK307" s="26"/>
      <c r="CL307" s="26"/>
      <c r="CM307" s="26"/>
      <c r="CN307" s="26"/>
      <c r="CO307" s="26"/>
      <c r="CP307" s="26"/>
      <c r="CQ307" s="26"/>
      <c r="CR307" s="26"/>
      <c r="CS307" s="26"/>
      <c r="CT307" s="26"/>
      <c r="CU307" s="26"/>
      <c r="CV307" s="26"/>
      <c r="CW307" s="26"/>
      <c r="CX307" s="26"/>
      <c r="CY307" s="26"/>
      <c r="CZ307" s="26"/>
      <c r="DA307" s="26"/>
      <c r="DB307" s="26"/>
      <c r="DC307" s="26"/>
      <c r="DD307" s="26"/>
    </row>
    <row r="308" spans="59:108" x14ac:dyDescent="0.2">
      <c r="BG308" s="26"/>
      <c r="BH308" s="26"/>
      <c r="BI308" s="26"/>
      <c r="BJ308" s="26"/>
      <c r="BK308" s="26"/>
      <c r="BL308" s="26"/>
      <c r="BM308" s="26"/>
      <c r="BN308" s="26"/>
      <c r="BO308" s="26"/>
      <c r="BP308" s="26"/>
      <c r="BQ308" s="26"/>
      <c r="BR308" s="26"/>
      <c r="BS308" s="26"/>
      <c r="BT308" s="26"/>
      <c r="BU308" s="26"/>
      <c r="BV308" s="26"/>
      <c r="BW308" s="26"/>
      <c r="BX308" s="26"/>
      <c r="BY308" s="26"/>
      <c r="BZ308" s="26"/>
      <c r="CA308" s="26"/>
      <c r="CB308" s="26"/>
      <c r="CC308" s="26"/>
      <c r="CD308" s="26"/>
      <c r="CE308" s="26"/>
      <c r="CF308" s="26"/>
      <c r="CG308" s="26"/>
      <c r="CH308" s="26"/>
      <c r="CI308" s="26"/>
      <c r="CJ308" s="26"/>
      <c r="CK308" s="26"/>
      <c r="CL308" s="26"/>
      <c r="CM308" s="26"/>
      <c r="CN308" s="26"/>
      <c r="CO308" s="26"/>
      <c r="CP308" s="26"/>
      <c r="CQ308" s="26"/>
      <c r="CR308" s="26"/>
      <c r="CS308" s="26"/>
      <c r="CT308" s="26"/>
      <c r="CU308" s="26"/>
      <c r="CV308" s="26"/>
      <c r="CW308" s="26"/>
      <c r="CX308" s="26"/>
      <c r="CY308" s="26"/>
      <c r="CZ308" s="26"/>
      <c r="DA308" s="26"/>
      <c r="DB308" s="26"/>
      <c r="DC308" s="26"/>
      <c r="DD308" s="26"/>
    </row>
    <row r="309" spans="59:108" x14ac:dyDescent="0.2">
      <c r="BG309" s="26"/>
      <c r="BH309" s="26"/>
      <c r="BI309" s="26"/>
      <c r="BJ309" s="26"/>
      <c r="BK309" s="26"/>
      <c r="BL309" s="26"/>
      <c r="BM309" s="26"/>
      <c r="BN309" s="26"/>
      <c r="BO309" s="26"/>
      <c r="BP309" s="26"/>
      <c r="BQ309" s="26"/>
      <c r="BR309" s="26"/>
      <c r="BS309" s="26"/>
      <c r="BT309" s="26"/>
      <c r="BU309" s="26"/>
      <c r="BV309" s="26"/>
      <c r="BW309" s="26"/>
      <c r="BX309" s="26"/>
      <c r="BY309" s="26"/>
      <c r="BZ309" s="26"/>
      <c r="CA309" s="26"/>
      <c r="CB309" s="26"/>
      <c r="CC309" s="26"/>
      <c r="CD309" s="26"/>
      <c r="CE309" s="26"/>
      <c r="CF309" s="26"/>
      <c r="CG309" s="26"/>
      <c r="CH309" s="26"/>
      <c r="CI309" s="26"/>
      <c r="CJ309" s="26"/>
      <c r="CK309" s="26"/>
      <c r="CL309" s="26"/>
      <c r="CM309" s="26"/>
      <c r="CN309" s="26"/>
      <c r="CO309" s="26"/>
      <c r="CP309" s="26"/>
      <c r="CQ309" s="26"/>
      <c r="CR309" s="26"/>
      <c r="CS309" s="26"/>
      <c r="CT309" s="26"/>
      <c r="CU309" s="26"/>
      <c r="CV309" s="26"/>
      <c r="CW309" s="26"/>
      <c r="CX309" s="26"/>
      <c r="CY309" s="26"/>
      <c r="CZ309" s="26"/>
      <c r="DA309" s="26"/>
      <c r="DB309" s="26"/>
      <c r="DC309" s="26"/>
      <c r="DD309" s="26"/>
    </row>
    <row r="310" spans="59:108" x14ac:dyDescent="0.2">
      <c r="BG310" s="26"/>
      <c r="BH310" s="26"/>
      <c r="BI310" s="26"/>
      <c r="BJ310" s="26"/>
      <c r="BK310" s="26"/>
      <c r="BL310" s="26"/>
      <c r="BM310" s="26"/>
      <c r="BN310" s="26"/>
      <c r="BO310" s="26"/>
      <c r="BP310" s="26"/>
      <c r="BQ310" s="26"/>
      <c r="BR310" s="26"/>
      <c r="BS310" s="26"/>
      <c r="BT310" s="26"/>
      <c r="BU310" s="26"/>
      <c r="BV310" s="26"/>
      <c r="BW310" s="26"/>
      <c r="BX310" s="26"/>
      <c r="BY310" s="26"/>
      <c r="BZ310" s="26"/>
      <c r="CA310" s="26"/>
      <c r="CB310" s="26"/>
      <c r="CC310" s="26"/>
      <c r="CD310" s="26"/>
      <c r="CE310" s="26"/>
      <c r="CF310" s="26"/>
      <c r="CG310" s="26"/>
      <c r="CH310" s="26"/>
      <c r="CI310" s="26"/>
      <c r="CJ310" s="26"/>
      <c r="CK310" s="26"/>
      <c r="CL310" s="26"/>
      <c r="CM310" s="26"/>
      <c r="CN310" s="26"/>
      <c r="CO310" s="26"/>
      <c r="CP310" s="26"/>
      <c r="CQ310" s="26"/>
      <c r="CR310" s="26"/>
      <c r="CS310" s="26"/>
      <c r="CT310" s="26"/>
      <c r="CU310" s="26"/>
      <c r="CV310" s="26"/>
      <c r="CW310" s="26"/>
      <c r="CX310" s="26"/>
      <c r="CY310" s="26"/>
      <c r="CZ310" s="26"/>
      <c r="DA310" s="26"/>
      <c r="DB310" s="26"/>
      <c r="DC310" s="26"/>
      <c r="DD310" s="26"/>
    </row>
    <row r="311" spans="59:108" x14ac:dyDescent="0.2">
      <c r="BG311" s="26"/>
      <c r="BH311" s="26"/>
      <c r="BI311" s="26"/>
      <c r="BJ311" s="26"/>
      <c r="BK311" s="26"/>
      <c r="BL311" s="26"/>
      <c r="BM311" s="26"/>
      <c r="BN311" s="26"/>
      <c r="BO311" s="26"/>
      <c r="BP311" s="26"/>
      <c r="BQ311" s="26"/>
      <c r="BR311" s="26"/>
      <c r="BS311" s="26"/>
      <c r="BT311" s="26"/>
      <c r="BU311" s="26"/>
      <c r="BV311" s="26"/>
      <c r="BW311" s="26"/>
      <c r="BX311" s="26"/>
      <c r="BY311" s="26"/>
      <c r="BZ311" s="26"/>
      <c r="CA311" s="26"/>
      <c r="CB311" s="26"/>
      <c r="CC311" s="26"/>
      <c r="CD311" s="26"/>
      <c r="CE311" s="26"/>
      <c r="CF311" s="26"/>
      <c r="CG311" s="26"/>
      <c r="CH311" s="26"/>
      <c r="CI311" s="26"/>
      <c r="CJ311" s="26"/>
      <c r="CK311" s="26"/>
      <c r="CL311" s="26"/>
      <c r="CM311" s="26"/>
      <c r="CN311" s="26"/>
      <c r="CO311" s="26"/>
      <c r="CP311" s="26"/>
      <c r="CQ311" s="26"/>
      <c r="CR311" s="26"/>
      <c r="CS311" s="26"/>
      <c r="CT311" s="26"/>
      <c r="CU311" s="26"/>
      <c r="CV311" s="26"/>
      <c r="CW311" s="26"/>
      <c r="CX311" s="26"/>
      <c r="CY311" s="26"/>
      <c r="CZ311" s="26"/>
      <c r="DA311" s="26"/>
      <c r="DB311" s="26"/>
      <c r="DC311" s="26"/>
      <c r="DD311" s="26"/>
    </row>
    <row r="312" spans="59:108" x14ac:dyDescent="0.2">
      <c r="BG312" s="26"/>
      <c r="BH312" s="26"/>
      <c r="BI312" s="26"/>
      <c r="BJ312" s="26"/>
      <c r="BK312" s="26"/>
      <c r="BL312" s="26"/>
      <c r="BM312" s="26"/>
      <c r="BN312" s="26"/>
      <c r="BO312" s="26"/>
      <c r="BP312" s="26"/>
      <c r="BQ312" s="26"/>
      <c r="BR312" s="26"/>
      <c r="BS312" s="26"/>
      <c r="BT312" s="26"/>
      <c r="BU312" s="26"/>
      <c r="BV312" s="26"/>
      <c r="BW312" s="26"/>
      <c r="BX312" s="26"/>
      <c r="BY312" s="26"/>
      <c r="BZ312" s="26"/>
      <c r="CA312" s="26"/>
      <c r="CB312" s="26"/>
      <c r="CC312" s="26"/>
      <c r="CD312" s="26"/>
      <c r="CE312" s="26"/>
      <c r="CF312" s="26"/>
      <c r="CG312" s="26"/>
      <c r="CH312" s="26"/>
      <c r="CI312" s="26"/>
      <c r="CJ312" s="26"/>
      <c r="CK312" s="26"/>
      <c r="CL312" s="26"/>
      <c r="CM312" s="26"/>
      <c r="CN312" s="26"/>
      <c r="CO312" s="26"/>
      <c r="CP312" s="26"/>
      <c r="CQ312" s="26"/>
      <c r="CR312" s="26"/>
      <c r="CS312" s="26"/>
      <c r="CT312" s="26"/>
      <c r="CU312" s="26"/>
      <c r="CV312" s="26"/>
      <c r="CW312" s="26"/>
      <c r="CX312" s="26"/>
      <c r="CY312" s="26"/>
      <c r="CZ312" s="26"/>
      <c r="DA312" s="26"/>
      <c r="DB312" s="26"/>
      <c r="DC312" s="26"/>
      <c r="DD312" s="26"/>
    </row>
    <row r="313" spans="59:108" x14ac:dyDescent="0.2">
      <c r="BG313" s="26"/>
      <c r="BH313" s="26"/>
      <c r="BI313" s="26"/>
      <c r="BJ313" s="26"/>
      <c r="BK313" s="26"/>
      <c r="BL313" s="26"/>
      <c r="BM313" s="26"/>
      <c r="BN313" s="26"/>
      <c r="BO313" s="26"/>
      <c r="BP313" s="26"/>
      <c r="BQ313" s="26"/>
      <c r="BR313" s="26"/>
      <c r="BS313" s="26"/>
      <c r="BT313" s="26"/>
      <c r="BU313" s="26"/>
      <c r="BV313" s="26"/>
      <c r="BW313" s="26"/>
      <c r="BX313" s="26"/>
      <c r="BY313" s="26"/>
      <c r="BZ313" s="26"/>
      <c r="CA313" s="26"/>
      <c r="CB313" s="26"/>
      <c r="CC313" s="26"/>
      <c r="CD313" s="26"/>
      <c r="CE313" s="26"/>
      <c r="CF313" s="26"/>
      <c r="CG313" s="26"/>
      <c r="CH313" s="26"/>
      <c r="CI313" s="26"/>
      <c r="CJ313" s="26"/>
      <c r="CK313" s="26"/>
      <c r="CL313" s="26"/>
      <c r="CM313" s="26"/>
      <c r="CN313" s="26"/>
      <c r="CO313" s="26"/>
      <c r="CP313" s="26"/>
      <c r="CQ313" s="26"/>
      <c r="CR313" s="26"/>
      <c r="CS313" s="26"/>
      <c r="CT313" s="26"/>
      <c r="CU313" s="26"/>
      <c r="CV313" s="26"/>
      <c r="CW313" s="26"/>
      <c r="CX313" s="26"/>
      <c r="CY313" s="26"/>
      <c r="CZ313" s="26"/>
      <c r="DA313" s="26"/>
      <c r="DB313" s="26"/>
      <c r="DC313" s="26"/>
      <c r="DD313" s="26"/>
    </row>
    <row r="314" spans="59:108" x14ac:dyDescent="0.2">
      <c r="BG314" s="26"/>
      <c r="BH314" s="26"/>
      <c r="BI314" s="26"/>
      <c r="BJ314" s="26"/>
      <c r="BK314" s="26"/>
      <c r="BL314" s="26"/>
      <c r="BM314" s="26"/>
      <c r="BN314" s="26"/>
      <c r="BO314" s="26"/>
      <c r="BP314" s="26"/>
      <c r="BQ314" s="26"/>
      <c r="BR314" s="26"/>
      <c r="BS314" s="26"/>
      <c r="BT314" s="26"/>
      <c r="BU314" s="26"/>
      <c r="BV314" s="26"/>
      <c r="BW314" s="26"/>
      <c r="BX314" s="26"/>
      <c r="BY314" s="26"/>
      <c r="BZ314" s="26"/>
      <c r="CA314" s="26"/>
      <c r="CB314" s="26"/>
      <c r="CC314" s="26"/>
      <c r="CD314" s="26"/>
      <c r="CE314" s="26"/>
      <c r="CF314" s="26"/>
      <c r="CG314" s="26"/>
      <c r="CH314" s="26"/>
      <c r="CI314" s="26"/>
      <c r="CJ314" s="26"/>
      <c r="CK314" s="26"/>
      <c r="CL314" s="26"/>
      <c r="CM314" s="26"/>
      <c r="CN314" s="26"/>
      <c r="CO314" s="26"/>
      <c r="CP314" s="26"/>
      <c r="CQ314" s="26"/>
      <c r="CR314" s="26"/>
      <c r="CS314" s="26"/>
      <c r="CT314" s="26"/>
      <c r="CU314" s="26"/>
      <c r="CV314" s="26"/>
      <c r="CW314" s="26"/>
      <c r="CX314" s="26"/>
      <c r="CY314" s="26"/>
      <c r="CZ314" s="26"/>
      <c r="DA314" s="26"/>
      <c r="DB314" s="26"/>
      <c r="DC314" s="26"/>
      <c r="DD314" s="26"/>
    </row>
    <row r="315" spans="59:108" x14ac:dyDescent="0.2">
      <c r="BG315" s="26"/>
      <c r="BH315" s="26"/>
      <c r="BI315" s="26"/>
      <c r="BJ315" s="26"/>
      <c r="BK315" s="26"/>
      <c r="BL315" s="26"/>
      <c r="BM315" s="26"/>
      <c r="BN315" s="26"/>
      <c r="BO315" s="26"/>
      <c r="BP315" s="26"/>
      <c r="BQ315" s="26"/>
      <c r="BR315" s="26"/>
      <c r="BS315" s="26"/>
      <c r="BT315" s="26"/>
      <c r="BU315" s="26"/>
      <c r="BV315" s="26"/>
      <c r="BW315" s="26"/>
      <c r="BX315" s="26"/>
      <c r="BY315" s="26"/>
      <c r="BZ315" s="26"/>
      <c r="CA315" s="26"/>
      <c r="CB315" s="26"/>
      <c r="CC315" s="26"/>
      <c r="CD315" s="26"/>
      <c r="CE315" s="26"/>
      <c r="CF315" s="26"/>
      <c r="CG315" s="26"/>
      <c r="CH315" s="26"/>
      <c r="CI315" s="26"/>
      <c r="CJ315" s="26"/>
      <c r="CK315" s="26"/>
      <c r="CL315" s="26"/>
      <c r="CM315" s="26"/>
      <c r="CN315" s="26"/>
      <c r="CO315" s="26"/>
      <c r="CP315" s="26"/>
      <c r="CQ315" s="26"/>
      <c r="CR315" s="26"/>
      <c r="CS315" s="26"/>
      <c r="CT315" s="26"/>
      <c r="CU315" s="26"/>
      <c r="CV315" s="26"/>
      <c r="CW315" s="26"/>
      <c r="CX315" s="26"/>
      <c r="CY315" s="26"/>
      <c r="CZ315" s="26"/>
      <c r="DA315" s="26"/>
      <c r="DB315" s="26"/>
      <c r="DC315" s="26"/>
      <c r="DD315" s="26"/>
    </row>
    <row r="316" spans="59:108" x14ac:dyDescent="0.2">
      <c r="BG316" s="26"/>
      <c r="BH316" s="26"/>
      <c r="BI316" s="26"/>
      <c r="BJ316" s="26"/>
      <c r="BK316" s="26"/>
      <c r="BL316" s="26"/>
      <c r="BM316" s="26"/>
      <c r="BN316" s="26"/>
      <c r="BO316" s="26"/>
      <c r="BP316" s="26"/>
      <c r="BQ316" s="26"/>
      <c r="BR316" s="26"/>
      <c r="BS316" s="26"/>
      <c r="BT316" s="26"/>
      <c r="BU316" s="26"/>
      <c r="BV316" s="26"/>
      <c r="BW316" s="26"/>
      <c r="BX316" s="26"/>
      <c r="BY316" s="26"/>
      <c r="BZ316" s="26"/>
      <c r="CA316" s="26"/>
      <c r="CB316" s="26"/>
      <c r="CC316" s="26"/>
      <c r="CD316" s="26"/>
      <c r="CE316" s="26"/>
      <c r="CF316" s="26"/>
      <c r="CG316" s="26"/>
      <c r="CH316" s="26"/>
      <c r="CI316" s="26"/>
      <c r="CJ316" s="26"/>
      <c r="CK316" s="26"/>
      <c r="CL316" s="26"/>
      <c r="CM316" s="26"/>
      <c r="CN316" s="26"/>
      <c r="CO316" s="26"/>
      <c r="CP316" s="26"/>
      <c r="CQ316" s="26"/>
      <c r="CR316" s="26"/>
      <c r="CS316" s="26"/>
      <c r="CT316" s="26"/>
      <c r="CU316" s="26"/>
      <c r="CV316" s="26"/>
      <c r="CW316" s="26"/>
      <c r="CX316" s="26"/>
      <c r="CY316" s="26"/>
      <c r="CZ316" s="26"/>
      <c r="DA316" s="26"/>
      <c r="DB316" s="26"/>
      <c r="DC316" s="26"/>
      <c r="DD316" s="26"/>
    </row>
    <row r="317" spans="59:108" x14ac:dyDescent="0.2">
      <c r="BG317" s="26"/>
      <c r="BH317" s="26"/>
      <c r="BI317" s="26"/>
      <c r="BJ317" s="26"/>
      <c r="BK317" s="26"/>
      <c r="BL317" s="26"/>
      <c r="BM317" s="26"/>
      <c r="BN317" s="26"/>
      <c r="BO317" s="26"/>
      <c r="BP317" s="26"/>
      <c r="BQ317" s="26"/>
      <c r="BR317" s="26"/>
      <c r="BS317" s="26"/>
      <c r="BT317" s="26"/>
      <c r="BU317" s="26"/>
      <c r="BV317" s="26"/>
      <c r="BW317" s="26"/>
      <c r="BX317" s="26"/>
      <c r="BY317" s="26"/>
      <c r="BZ317" s="26"/>
      <c r="CA317" s="26"/>
      <c r="CB317" s="26"/>
      <c r="CC317" s="26"/>
      <c r="CD317" s="26"/>
      <c r="CE317" s="26"/>
      <c r="CF317" s="26"/>
      <c r="CG317" s="26"/>
      <c r="CH317" s="26"/>
      <c r="CI317" s="26"/>
      <c r="CJ317" s="26"/>
      <c r="CK317" s="26"/>
      <c r="CL317" s="26"/>
      <c r="CM317" s="26"/>
      <c r="CN317" s="26"/>
      <c r="CO317" s="26"/>
      <c r="CP317" s="26"/>
      <c r="CQ317" s="26"/>
      <c r="CR317" s="26"/>
      <c r="CS317" s="26"/>
      <c r="CT317" s="26"/>
      <c r="CU317" s="26"/>
      <c r="CV317" s="26"/>
      <c r="CW317" s="26"/>
      <c r="CX317" s="26"/>
      <c r="CY317" s="26"/>
      <c r="CZ317" s="26"/>
      <c r="DA317" s="26"/>
      <c r="DB317" s="26"/>
      <c r="DC317" s="26"/>
      <c r="DD317" s="26"/>
    </row>
    <row r="318" spans="59:108" x14ac:dyDescent="0.2">
      <c r="BG318" s="26"/>
      <c r="BH318" s="26"/>
      <c r="BI318" s="26"/>
      <c r="BJ318" s="26"/>
      <c r="BK318" s="26"/>
      <c r="BL318" s="26"/>
      <c r="BM318" s="26"/>
      <c r="BN318" s="26"/>
      <c r="BO318" s="26"/>
      <c r="BP318" s="26"/>
      <c r="BQ318" s="26"/>
      <c r="BR318" s="26"/>
      <c r="BS318" s="26"/>
      <c r="BT318" s="26"/>
      <c r="BU318" s="26"/>
      <c r="BV318" s="26"/>
      <c r="BW318" s="26"/>
      <c r="BX318" s="26"/>
      <c r="BY318" s="26"/>
      <c r="BZ318" s="26"/>
      <c r="CA318" s="26"/>
      <c r="CB318" s="26"/>
      <c r="CC318" s="26"/>
      <c r="CD318" s="26"/>
      <c r="CE318" s="26"/>
      <c r="CF318" s="26"/>
      <c r="CG318" s="26"/>
      <c r="CH318" s="26"/>
      <c r="CI318" s="26"/>
      <c r="CJ318" s="26"/>
      <c r="CK318" s="26"/>
      <c r="CL318" s="26"/>
      <c r="CM318" s="26"/>
      <c r="CN318" s="26"/>
      <c r="CO318" s="26"/>
      <c r="CP318" s="26"/>
      <c r="CQ318" s="26"/>
      <c r="CR318" s="26"/>
      <c r="CS318" s="26"/>
      <c r="CT318" s="26"/>
      <c r="CU318" s="26"/>
      <c r="CV318" s="26"/>
      <c r="CW318" s="26"/>
      <c r="CX318" s="26"/>
      <c r="CY318" s="26"/>
      <c r="CZ318" s="26"/>
      <c r="DA318" s="26"/>
      <c r="DB318" s="26"/>
      <c r="DC318" s="26"/>
      <c r="DD318" s="26"/>
    </row>
    <row r="319" spans="59:108" x14ac:dyDescent="0.2">
      <c r="BG319" s="26"/>
      <c r="BH319" s="26"/>
      <c r="BI319" s="26"/>
      <c r="BJ319" s="26"/>
      <c r="BK319" s="26"/>
      <c r="BL319" s="26"/>
      <c r="BM319" s="26"/>
      <c r="BN319" s="26"/>
      <c r="BO319" s="26"/>
      <c r="BP319" s="26"/>
      <c r="BQ319" s="26"/>
      <c r="BR319" s="26"/>
      <c r="BS319" s="26"/>
      <c r="BT319" s="26"/>
      <c r="BU319" s="26"/>
      <c r="BV319" s="26"/>
      <c r="BW319" s="26"/>
      <c r="BX319" s="26"/>
      <c r="BY319" s="26"/>
      <c r="BZ319" s="26"/>
      <c r="CA319" s="26"/>
      <c r="CB319" s="26"/>
      <c r="CC319" s="26"/>
      <c r="CD319" s="26"/>
      <c r="CE319" s="26"/>
      <c r="CF319" s="26"/>
      <c r="CG319" s="26"/>
      <c r="CH319" s="26"/>
      <c r="CI319" s="26"/>
      <c r="CJ319" s="26"/>
      <c r="CK319" s="26"/>
      <c r="CL319" s="26"/>
      <c r="CM319" s="26"/>
      <c r="CN319" s="26"/>
      <c r="CO319" s="26"/>
      <c r="CP319" s="26"/>
      <c r="CQ319" s="26"/>
      <c r="CR319" s="26"/>
      <c r="CS319" s="26"/>
      <c r="CT319" s="26"/>
      <c r="CU319" s="26"/>
      <c r="CV319" s="26"/>
      <c r="CW319" s="26"/>
      <c r="CX319" s="26"/>
      <c r="CY319" s="26"/>
      <c r="CZ319" s="26"/>
      <c r="DA319" s="26"/>
      <c r="DB319" s="26"/>
      <c r="DC319" s="26"/>
      <c r="DD319" s="26"/>
    </row>
    <row r="320" spans="59:108" x14ac:dyDescent="0.2">
      <c r="BG320" s="26"/>
      <c r="BH320" s="26"/>
      <c r="BI320" s="26"/>
      <c r="BJ320" s="26"/>
      <c r="BK320" s="26"/>
      <c r="BL320" s="26"/>
      <c r="BM320" s="26"/>
      <c r="BN320" s="26"/>
      <c r="BO320" s="26"/>
      <c r="BP320" s="26"/>
      <c r="BQ320" s="26"/>
      <c r="BR320" s="26"/>
      <c r="BS320" s="26"/>
      <c r="BT320" s="26"/>
      <c r="BU320" s="26"/>
      <c r="BV320" s="26"/>
      <c r="BW320" s="26"/>
      <c r="BX320" s="26"/>
      <c r="BY320" s="26"/>
      <c r="BZ320" s="26"/>
      <c r="CA320" s="26"/>
      <c r="CB320" s="26"/>
      <c r="CC320" s="26"/>
      <c r="CD320" s="26"/>
      <c r="CE320" s="26"/>
      <c r="CF320" s="26"/>
      <c r="CG320" s="26"/>
      <c r="CH320" s="26"/>
      <c r="CI320" s="26"/>
      <c r="CJ320" s="26"/>
      <c r="CK320" s="26"/>
      <c r="CL320" s="26"/>
      <c r="CM320" s="26"/>
      <c r="CN320" s="26"/>
      <c r="CO320" s="26"/>
      <c r="CP320" s="26"/>
      <c r="CQ320" s="26"/>
      <c r="CR320" s="26"/>
      <c r="CS320" s="26"/>
      <c r="CT320" s="26"/>
      <c r="CU320" s="26"/>
      <c r="CV320" s="26"/>
      <c r="CW320" s="26"/>
      <c r="CX320" s="26"/>
      <c r="CY320" s="26"/>
      <c r="CZ320" s="26"/>
      <c r="DA320" s="26"/>
      <c r="DB320" s="26"/>
      <c r="DC320" s="26"/>
      <c r="DD320" s="26"/>
    </row>
    <row r="321" spans="59:108" x14ac:dyDescent="0.2">
      <c r="BG321" s="26"/>
      <c r="BH321" s="26"/>
      <c r="BI321" s="26"/>
      <c r="BJ321" s="26"/>
      <c r="BK321" s="26"/>
      <c r="BL321" s="26"/>
      <c r="BM321" s="26"/>
      <c r="BN321" s="26"/>
      <c r="BO321" s="26"/>
      <c r="BP321" s="26"/>
      <c r="BQ321" s="26"/>
      <c r="BR321" s="26"/>
      <c r="BS321" s="26"/>
      <c r="BT321" s="26"/>
      <c r="BU321" s="26"/>
      <c r="BV321" s="26"/>
      <c r="BW321" s="26"/>
      <c r="BX321" s="26"/>
      <c r="BY321" s="26"/>
      <c r="BZ321" s="26"/>
      <c r="CA321" s="26"/>
      <c r="CB321" s="26"/>
      <c r="CC321" s="26"/>
      <c r="CD321" s="26"/>
      <c r="CE321" s="26"/>
      <c r="CF321" s="26"/>
      <c r="CG321" s="26"/>
      <c r="CH321" s="26"/>
      <c r="CI321" s="26"/>
      <c r="CJ321" s="26"/>
      <c r="CK321" s="26"/>
      <c r="CL321" s="26"/>
      <c r="CM321" s="26"/>
      <c r="CN321" s="26"/>
      <c r="CO321" s="26"/>
      <c r="CP321" s="26"/>
      <c r="CQ321" s="26"/>
      <c r="CR321" s="26"/>
      <c r="CS321" s="26"/>
      <c r="CT321" s="26"/>
      <c r="CU321" s="26"/>
      <c r="CV321" s="26"/>
      <c r="CW321" s="26"/>
      <c r="CX321" s="26"/>
      <c r="CY321" s="26"/>
      <c r="CZ321" s="26"/>
      <c r="DA321" s="26"/>
      <c r="DB321" s="26"/>
      <c r="DC321" s="26"/>
      <c r="DD321" s="26"/>
    </row>
    <row r="322" spans="59:108" x14ac:dyDescent="0.2">
      <c r="BG322" s="26"/>
      <c r="BH322" s="26"/>
      <c r="BI322" s="26"/>
      <c r="BJ322" s="26"/>
      <c r="BK322" s="26"/>
      <c r="BL322" s="26"/>
      <c r="BM322" s="26"/>
      <c r="BN322" s="26"/>
      <c r="BO322" s="26"/>
      <c r="BP322" s="26"/>
      <c r="BQ322" s="26"/>
      <c r="BR322" s="26"/>
      <c r="BS322" s="26"/>
      <c r="BT322" s="26"/>
      <c r="BU322" s="26"/>
      <c r="BV322" s="26"/>
      <c r="BW322" s="26"/>
      <c r="BX322" s="26"/>
      <c r="BY322" s="26"/>
      <c r="BZ322" s="26"/>
      <c r="CA322" s="26"/>
      <c r="CB322" s="26"/>
      <c r="CC322" s="26"/>
      <c r="CD322" s="26"/>
      <c r="CE322" s="26"/>
      <c r="CF322" s="26"/>
      <c r="CG322" s="26"/>
      <c r="CH322" s="26"/>
      <c r="CI322" s="26"/>
      <c r="CJ322" s="26"/>
      <c r="CK322" s="26"/>
      <c r="CL322" s="26"/>
      <c r="CM322" s="26"/>
      <c r="CN322" s="26"/>
      <c r="CO322" s="26"/>
      <c r="CP322" s="26"/>
      <c r="CQ322" s="26"/>
      <c r="CR322" s="26"/>
      <c r="CS322" s="26"/>
      <c r="CT322" s="26"/>
      <c r="CU322" s="26"/>
      <c r="CV322" s="26"/>
      <c r="CW322" s="26"/>
      <c r="CX322" s="26"/>
      <c r="CY322" s="26"/>
      <c r="CZ322" s="26"/>
      <c r="DA322" s="26"/>
      <c r="DB322" s="26"/>
      <c r="DC322" s="26"/>
      <c r="DD322" s="26"/>
    </row>
    <row r="323" spans="59:108" x14ac:dyDescent="0.2">
      <c r="BG323" s="26"/>
      <c r="BH323" s="26"/>
      <c r="BI323" s="26"/>
      <c r="BJ323" s="26"/>
      <c r="BK323" s="26"/>
      <c r="BL323" s="26"/>
      <c r="BM323" s="26"/>
      <c r="BN323" s="26"/>
      <c r="BO323" s="26"/>
      <c r="BP323" s="26"/>
      <c r="BQ323" s="26"/>
      <c r="BR323" s="26"/>
      <c r="BS323" s="26"/>
      <c r="BT323" s="26"/>
      <c r="BU323" s="26"/>
      <c r="BV323" s="26"/>
      <c r="BW323" s="26"/>
      <c r="BX323" s="26"/>
      <c r="BY323" s="26"/>
      <c r="BZ323" s="26"/>
      <c r="CA323" s="26"/>
      <c r="CB323" s="26"/>
      <c r="CC323" s="26"/>
      <c r="CD323" s="26"/>
      <c r="CE323" s="26"/>
      <c r="CF323" s="26"/>
      <c r="CG323" s="26"/>
      <c r="CH323" s="26"/>
      <c r="CI323" s="26"/>
      <c r="CJ323" s="26"/>
      <c r="CK323" s="26"/>
      <c r="CL323" s="26"/>
      <c r="CM323" s="26"/>
      <c r="CN323" s="26"/>
      <c r="CO323" s="26"/>
      <c r="CP323" s="26"/>
      <c r="CQ323" s="26"/>
      <c r="CR323" s="26"/>
      <c r="CS323" s="26"/>
      <c r="CT323" s="26"/>
      <c r="CU323" s="26"/>
      <c r="CV323" s="26"/>
      <c r="CW323" s="26"/>
      <c r="CX323" s="26"/>
      <c r="CY323" s="26"/>
      <c r="CZ323" s="26"/>
      <c r="DA323" s="26"/>
      <c r="DB323" s="26"/>
      <c r="DC323" s="26"/>
      <c r="DD323" s="26"/>
    </row>
    <row r="324" spans="59:108" x14ac:dyDescent="0.2">
      <c r="BG324" s="26"/>
      <c r="BH324" s="26"/>
      <c r="BI324" s="26"/>
      <c r="BJ324" s="26"/>
      <c r="BK324" s="26"/>
      <c r="BL324" s="26"/>
      <c r="BM324" s="26"/>
      <c r="BN324" s="26"/>
      <c r="BO324" s="26"/>
      <c r="BP324" s="26"/>
      <c r="BQ324" s="26"/>
      <c r="BR324" s="26"/>
      <c r="BS324" s="26"/>
      <c r="BT324" s="26"/>
      <c r="BU324" s="26"/>
      <c r="BV324" s="26"/>
      <c r="BW324" s="26"/>
      <c r="BX324" s="26"/>
      <c r="BY324" s="26"/>
      <c r="BZ324" s="26"/>
      <c r="CA324" s="26"/>
      <c r="CB324" s="26"/>
      <c r="CC324" s="26"/>
      <c r="CD324" s="26"/>
      <c r="CE324" s="26"/>
      <c r="CF324" s="26"/>
      <c r="CG324" s="26"/>
      <c r="CH324" s="26"/>
      <c r="CI324" s="26"/>
      <c r="CJ324" s="26"/>
      <c r="CK324" s="26"/>
      <c r="CL324" s="26"/>
      <c r="CM324" s="26"/>
      <c r="CN324" s="26"/>
      <c r="CO324" s="26"/>
      <c r="CP324" s="26"/>
      <c r="CQ324" s="26"/>
      <c r="CR324" s="26"/>
      <c r="CS324" s="26"/>
      <c r="CT324" s="26"/>
      <c r="CU324" s="26"/>
      <c r="CV324" s="26"/>
      <c r="CW324" s="26"/>
      <c r="CX324" s="26"/>
      <c r="CY324" s="26"/>
      <c r="CZ324" s="26"/>
      <c r="DA324" s="26"/>
      <c r="DB324" s="26"/>
      <c r="DC324" s="26"/>
      <c r="DD324" s="26"/>
    </row>
    <row r="325" spans="59:108" x14ac:dyDescent="0.2">
      <c r="BG325" s="26"/>
      <c r="BH325" s="26"/>
      <c r="BI325" s="26"/>
      <c r="BJ325" s="26"/>
      <c r="BK325" s="26"/>
      <c r="BL325" s="26"/>
      <c r="BM325" s="26"/>
      <c r="BN325" s="26"/>
      <c r="BO325" s="26"/>
      <c r="BP325" s="26"/>
      <c r="BQ325" s="26"/>
      <c r="BR325" s="26"/>
      <c r="BS325" s="26"/>
      <c r="BT325" s="26"/>
      <c r="BU325" s="26"/>
      <c r="BV325" s="26"/>
      <c r="BW325" s="26"/>
      <c r="BX325" s="26"/>
      <c r="BY325" s="26"/>
      <c r="BZ325" s="26"/>
      <c r="CA325" s="26"/>
      <c r="CB325" s="26"/>
      <c r="CC325" s="26"/>
      <c r="CD325" s="26"/>
      <c r="CE325" s="26"/>
      <c r="CF325" s="26"/>
      <c r="CG325" s="26"/>
      <c r="CH325" s="26"/>
      <c r="CI325" s="26"/>
      <c r="CJ325" s="26"/>
      <c r="CK325" s="26"/>
      <c r="CL325" s="26"/>
      <c r="CM325" s="26"/>
      <c r="CN325" s="26"/>
      <c r="CO325" s="26"/>
      <c r="CP325" s="26"/>
      <c r="CQ325" s="26"/>
      <c r="CR325" s="26"/>
      <c r="CS325" s="26"/>
      <c r="CT325" s="26"/>
      <c r="CU325" s="26"/>
      <c r="CV325" s="26"/>
      <c r="CW325" s="26"/>
      <c r="CX325" s="26"/>
      <c r="CY325" s="26"/>
      <c r="CZ325" s="26"/>
      <c r="DA325" s="26"/>
      <c r="DB325" s="26"/>
      <c r="DC325" s="26"/>
      <c r="DD325" s="26"/>
    </row>
    <row r="326" spans="59:108" x14ac:dyDescent="0.2">
      <c r="BG326" s="26"/>
      <c r="BH326" s="26"/>
      <c r="BI326" s="26"/>
      <c r="BJ326" s="26"/>
      <c r="BK326" s="26"/>
      <c r="BL326" s="26"/>
      <c r="BM326" s="26"/>
      <c r="BN326" s="26"/>
      <c r="BO326" s="26"/>
      <c r="BP326" s="26"/>
      <c r="BQ326" s="26"/>
      <c r="BR326" s="26"/>
      <c r="BS326" s="26"/>
      <c r="BT326" s="26"/>
      <c r="BU326" s="26"/>
      <c r="BV326" s="26"/>
      <c r="BW326" s="26"/>
      <c r="BX326" s="26"/>
      <c r="BY326" s="26"/>
      <c r="BZ326" s="26"/>
      <c r="CA326" s="26"/>
      <c r="CB326" s="26"/>
      <c r="CC326" s="26"/>
      <c r="CD326" s="26"/>
      <c r="CE326" s="26"/>
      <c r="CF326" s="26"/>
      <c r="CG326" s="26"/>
      <c r="CH326" s="26"/>
      <c r="CI326" s="26"/>
      <c r="CJ326" s="26"/>
      <c r="CK326" s="26"/>
      <c r="CL326" s="26"/>
      <c r="CM326" s="26"/>
      <c r="CN326" s="26"/>
      <c r="CO326" s="26"/>
      <c r="CP326" s="26"/>
      <c r="CQ326" s="26"/>
      <c r="CR326" s="26"/>
      <c r="CS326" s="26"/>
      <c r="CT326" s="26"/>
      <c r="CU326" s="26"/>
      <c r="CV326" s="26"/>
      <c r="CW326" s="26"/>
      <c r="CX326" s="26"/>
      <c r="CY326" s="26"/>
      <c r="CZ326" s="26"/>
      <c r="DA326" s="26"/>
      <c r="DB326" s="26"/>
      <c r="DC326" s="26"/>
      <c r="DD326" s="26"/>
    </row>
    <row r="327" spans="59:108" x14ac:dyDescent="0.2">
      <c r="BG327" s="26"/>
      <c r="BH327" s="26"/>
      <c r="BI327" s="26"/>
      <c r="BJ327" s="26"/>
      <c r="BK327" s="26"/>
      <c r="BL327" s="26"/>
      <c r="BM327" s="26"/>
      <c r="BN327" s="26"/>
      <c r="BO327" s="26"/>
      <c r="BP327" s="26"/>
      <c r="BQ327" s="26"/>
      <c r="BR327" s="26"/>
      <c r="BS327" s="26"/>
      <c r="BT327" s="26"/>
      <c r="BU327" s="26"/>
      <c r="BV327" s="26"/>
      <c r="BW327" s="26"/>
      <c r="BX327" s="26"/>
      <c r="BY327" s="26"/>
      <c r="BZ327" s="26"/>
      <c r="CA327" s="26"/>
      <c r="CB327" s="26"/>
      <c r="CC327" s="26"/>
      <c r="CD327" s="26"/>
      <c r="CE327" s="26"/>
      <c r="CF327" s="26"/>
      <c r="CG327" s="26"/>
      <c r="CH327" s="26"/>
      <c r="CI327" s="26"/>
      <c r="CJ327" s="26"/>
      <c r="CK327" s="26"/>
      <c r="CL327" s="26"/>
      <c r="CM327" s="26"/>
      <c r="CN327" s="26"/>
      <c r="CO327" s="26"/>
      <c r="CP327" s="26"/>
      <c r="CQ327" s="26"/>
      <c r="CR327" s="26"/>
      <c r="CS327" s="26"/>
      <c r="CT327" s="26"/>
      <c r="CU327" s="26"/>
      <c r="CV327" s="26"/>
      <c r="CW327" s="26"/>
      <c r="CX327" s="26"/>
      <c r="CY327" s="26"/>
      <c r="CZ327" s="26"/>
      <c r="DA327" s="26"/>
      <c r="DB327" s="26"/>
      <c r="DC327" s="26"/>
      <c r="DD327" s="26"/>
    </row>
    <row r="328" spans="59:108" x14ac:dyDescent="0.2">
      <c r="BG328" s="26"/>
      <c r="BH328" s="26"/>
      <c r="BI328" s="26"/>
      <c r="BJ328" s="26"/>
      <c r="BK328" s="26"/>
      <c r="BL328" s="26"/>
      <c r="BM328" s="26"/>
      <c r="BN328" s="26"/>
      <c r="BO328" s="26"/>
      <c r="BP328" s="26"/>
      <c r="BQ328" s="26"/>
      <c r="BR328" s="26"/>
      <c r="BS328" s="26"/>
      <c r="BT328" s="26"/>
      <c r="BU328" s="26"/>
      <c r="BV328" s="26"/>
      <c r="BW328" s="26"/>
      <c r="BX328" s="26"/>
      <c r="BY328" s="26"/>
      <c r="BZ328" s="26"/>
      <c r="CA328" s="26"/>
      <c r="CB328" s="26"/>
      <c r="CC328" s="26"/>
      <c r="CD328" s="26"/>
      <c r="CE328" s="26"/>
      <c r="CF328" s="26"/>
      <c r="CG328" s="26"/>
      <c r="CH328" s="26"/>
      <c r="CI328" s="26"/>
      <c r="CJ328" s="26"/>
      <c r="CK328" s="26"/>
      <c r="CL328" s="26"/>
      <c r="CM328" s="26"/>
      <c r="CN328" s="26"/>
      <c r="CO328" s="26"/>
      <c r="CP328" s="26"/>
      <c r="CQ328" s="26"/>
      <c r="CR328" s="26"/>
      <c r="CS328" s="26"/>
      <c r="CT328" s="26"/>
      <c r="CU328" s="26"/>
      <c r="CV328" s="26"/>
      <c r="CW328" s="26"/>
      <c r="CX328" s="26"/>
      <c r="CY328" s="26"/>
      <c r="CZ328" s="26"/>
      <c r="DA328" s="26"/>
      <c r="DB328" s="26"/>
      <c r="DC328" s="26"/>
      <c r="DD328" s="26"/>
    </row>
    <row r="329" spans="59:108" x14ac:dyDescent="0.2">
      <c r="BG329" s="26"/>
      <c r="BH329" s="26"/>
      <c r="BI329" s="26"/>
      <c r="BJ329" s="26"/>
      <c r="BK329" s="26"/>
      <c r="BL329" s="26"/>
      <c r="BM329" s="26"/>
      <c r="BN329" s="26"/>
      <c r="BO329" s="26"/>
      <c r="BP329" s="26"/>
      <c r="BQ329" s="26"/>
      <c r="BR329" s="26"/>
      <c r="BS329" s="26"/>
      <c r="BT329" s="26"/>
      <c r="BU329" s="26"/>
      <c r="BV329" s="26"/>
      <c r="BW329" s="26"/>
      <c r="BX329" s="26"/>
      <c r="BY329" s="26"/>
      <c r="BZ329" s="26"/>
      <c r="CA329" s="26"/>
      <c r="CB329" s="26"/>
      <c r="CC329" s="26"/>
      <c r="CD329" s="26"/>
      <c r="CE329" s="26"/>
      <c r="CF329" s="26"/>
      <c r="CG329" s="26"/>
      <c r="CH329" s="26"/>
      <c r="CI329" s="26"/>
      <c r="CJ329" s="26"/>
      <c r="CK329" s="26"/>
      <c r="CL329" s="26"/>
      <c r="CM329" s="26"/>
      <c r="CN329" s="26"/>
      <c r="CO329" s="26"/>
      <c r="CP329" s="26"/>
      <c r="CQ329" s="26"/>
      <c r="CR329" s="26"/>
      <c r="CS329" s="26"/>
      <c r="CT329" s="26"/>
      <c r="CU329" s="26"/>
      <c r="CV329" s="26"/>
      <c r="CW329" s="26"/>
      <c r="CX329" s="26"/>
      <c r="CY329" s="26"/>
      <c r="CZ329" s="26"/>
      <c r="DA329" s="26"/>
      <c r="DB329" s="26"/>
      <c r="DC329" s="26"/>
      <c r="DD329" s="26"/>
    </row>
    <row r="330" spans="59:108" x14ac:dyDescent="0.2">
      <c r="BG330" s="26"/>
      <c r="BH330" s="26"/>
      <c r="BI330" s="26"/>
      <c r="BJ330" s="26"/>
      <c r="BK330" s="26"/>
      <c r="BL330" s="26"/>
      <c r="BM330" s="26"/>
      <c r="BN330" s="26"/>
      <c r="BO330" s="26"/>
      <c r="BP330" s="26"/>
      <c r="BQ330" s="26"/>
      <c r="BR330" s="26"/>
      <c r="BS330" s="26"/>
      <c r="BT330" s="26"/>
      <c r="BU330" s="26"/>
      <c r="BV330" s="26"/>
      <c r="BW330" s="26"/>
      <c r="BX330" s="26"/>
      <c r="BY330" s="26"/>
      <c r="BZ330" s="26"/>
      <c r="CA330" s="26"/>
      <c r="CB330" s="26"/>
      <c r="CC330" s="26"/>
      <c r="CD330" s="26"/>
      <c r="CE330" s="26"/>
      <c r="CF330" s="26"/>
      <c r="CG330" s="26"/>
      <c r="CH330" s="26"/>
      <c r="CI330" s="26"/>
      <c r="CJ330" s="26"/>
      <c r="CK330" s="26"/>
      <c r="CL330" s="26"/>
      <c r="CM330" s="26"/>
      <c r="CN330" s="26"/>
      <c r="CO330" s="26"/>
      <c r="CP330" s="26"/>
      <c r="CQ330" s="26"/>
      <c r="CR330" s="26"/>
      <c r="CS330" s="26"/>
      <c r="CT330" s="26"/>
      <c r="CU330" s="26"/>
      <c r="CV330" s="26"/>
      <c r="CW330" s="26"/>
      <c r="CX330" s="26"/>
      <c r="CY330" s="26"/>
      <c r="CZ330" s="26"/>
      <c r="DA330" s="26"/>
      <c r="DB330" s="26"/>
      <c r="DC330" s="26"/>
      <c r="DD330" s="26"/>
    </row>
    <row r="331" spans="59:108" x14ac:dyDescent="0.2">
      <c r="BG331" s="26"/>
      <c r="BH331" s="26"/>
      <c r="BI331" s="26"/>
      <c r="BJ331" s="26"/>
      <c r="BK331" s="26"/>
      <c r="BL331" s="26"/>
      <c r="BM331" s="26"/>
      <c r="BN331" s="26"/>
      <c r="BO331" s="26"/>
      <c r="BP331" s="26"/>
      <c r="BQ331" s="26"/>
      <c r="BR331" s="26"/>
      <c r="BS331" s="26"/>
      <c r="BT331" s="26"/>
      <c r="BU331" s="26"/>
      <c r="BV331" s="26"/>
      <c r="BW331" s="26"/>
      <c r="BX331" s="26"/>
      <c r="BY331" s="26"/>
      <c r="BZ331" s="26"/>
      <c r="CA331" s="26"/>
      <c r="CB331" s="26"/>
      <c r="CC331" s="26"/>
      <c r="CD331" s="26"/>
      <c r="CE331" s="26"/>
      <c r="CF331" s="26"/>
      <c r="CG331" s="26"/>
      <c r="CH331" s="26"/>
      <c r="CI331" s="26"/>
      <c r="CJ331" s="26"/>
      <c r="CK331" s="26"/>
      <c r="CL331" s="26"/>
      <c r="CM331" s="26"/>
      <c r="CN331" s="26"/>
      <c r="CO331" s="26"/>
      <c r="CP331" s="26"/>
      <c r="CQ331" s="26"/>
      <c r="CR331" s="26"/>
      <c r="CS331" s="26"/>
      <c r="CT331" s="26"/>
      <c r="CU331" s="26"/>
      <c r="CV331" s="26"/>
      <c r="CW331" s="26"/>
      <c r="CX331" s="26"/>
      <c r="CY331" s="26"/>
      <c r="CZ331" s="26"/>
      <c r="DA331" s="26"/>
      <c r="DB331" s="26"/>
      <c r="DC331" s="26"/>
      <c r="DD331" s="26"/>
    </row>
    <row r="332" spans="59:108" x14ac:dyDescent="0.2">
      <c r="BG332" s="26"/>
      <c r="BH332" s="26"/>
      <c r="BI332" s="26"/>
      <c r="BJ332" s="26"/>
      <c r="BK332" s="26"/>
      <c r="BL332" s="26"/>
      <c r="BM332" s="26"/>
      <c r="BN332" s="26"/>
      <c r="BO332" s="26"/>
      <c r="BP332" s="26"/>
      <c r="BQ332" s="26"/>
      <c r="BR332" s="26"/>
      <c r="BS332" s="26"/>
      <c r="BT332" s="26"/>
      <c r="BU332" s="26"/>
      <c r="BV332" s="26"/>
      <c r="BW332" s="26"/>
      <c r="BX332" s="26"/>
      <c r="BY332" s="26"/>
      <c r="BZ332" s="26"/>
      <c r="CA332" s="26"/>
      <c r="CB332" s="26"/>
      <c r="CC332" s="26"/>
      <c r="CD332" s="26"/>
      <c r="CE332" s="26"/>
      <c r="CF332" s="26"/>
      <c r="CG332" s="26"/>
      <c r="CH332" s="26"/>
      <c r="CI332" s="26"/>
      <c r="CJ332" s="26"/>
      <c r="CK332" s="26"/>
      <c r="CL332" s="26"/>
      <c r="CM332" s="26"/>
      <c r="CN332" s="26"/>
      <c r="CO332" s="26"/>
      <c r="CP332" s="26"/>
      <c r="CQ332" s="26"/>
      <c r="CR332" s="26"/>
      <c r="CS332" s="26"/>
      <c r="CT332" s="26"/>
      <c r="CU332" s="26"/>
      <c r="CV332" s="26"/>
      <c r="CW332" s="26"/>
      <c r="CX332" s="26"/>
      <c r="CY332" s="26"/>
      <c r="CZ332" s="26"/>
      <c r="DA332" s="26"/>
      <c r="DB332" s="26"/>
      <c r="DC332" s="26"/>
      <c r="DD332" s="26"/>
    </row>
    <row r="333" spans="59:108" x14ac:dyDescent="0.2">
      <c r="BG333" s="26"/>
      <c r="BH333" s="26"/>
      <c r="BI333" s="26"/>
      <c r="BJ333" s="26"/>
      <c r="BK333" s="26"/>
      <c r="BL333" s="26"/>
      <c r="BM333" s="26"/>
      <c r="BN333" s="26"/>
      <c r="BO333" s="26"/>
      <c r="BP333" s="26"/>
      <c r="BQ333" s="26"/>
      <c r="BR333" s="26"/>
      <c r="BS333" s="26"/>
      <c r="BT333" s="26"/>
      <c r="BU333" s="26"/>
      <c r="BV333" s="26"/>
      <c r="BW333" s="26"/>
      <c r="BX333" s="26"/>
      <c r="BY333" s="26"/>
      <c r="BZ333" s="26"/>
      <c r="CA333" s="26"/>
      <c r="CB333" s="26"/>
      <c r="CC333" s="26"/>
      <c r="CD333" s="26"/>
      <c r="CE333" s="26"/>
      <c r="CF333" s="26"/>
      <c r="CG333" s="26"/>
      <c r="CH333" s="26"/>
      <c r="CI333" s="26"/>
      <c r="CJ333" s="26"/>
      <c r="CK333" s="26"/>
      <c r="CL333" s="26"/>
      <c r="CM333" s="26"/>
      <c r="CN333" s="26"/>
      <c r="CO333" s="26"/>
      <c r="CP333" s="26"/>
      <c r="CQ333" s="26"/>
      <c r="CR333" s="26"/>
      <c r="CS333" s="26"/>
      <c r="CT333" s="26"/>
      <c r="CU333" s="26"/>
      <c r="CV333" s="26"/>
      <c r="CW333" s="26"/>
      <c r="CX333" s="26"/>
      <c r="CY333" s="26"/>
      <c r="CZ333" s="26"/>
      <c r="DA333" s="26"/>
      <c r="DB333" s="26"/>
      <c r="DC333" s="26"/>
      <c r="DD333" s="26"/>
    </row>
    <row r="334" spans="59:108" x14ac:dyDescent="0.2">
      <c r="BG334" s="26"/>
      <c r="BH334" s="26"/>
      <c r="BI334" s="26"/>
      <c r="BJ334" s="26"/>
      <c r="BK334" s="26"/>
      <c r="BL334" s="26"/>
      <c r="BM334" s="26"/>
      <c r="BN334" s="26"/>
      <c r="BO334" s="26"/>
      <c r="BP334" s="26"/>
      <c r="BQ334" s="26"/>
      <c r="BR334" s="26"/>
      <c r="BS334" s="26"/>
      <c r="BT334" s="26"/>
      <c r="BU334" s="26"/>
      <c r="BV334" s="26"/>
      <c r="BW334" s="26"/>
      <c r="BX334" s="26"/>
      <c r="BY334" s="26"/>
      <c r="BZ334" s="26"/>
      <c r="CA334" s="26"/>
      <c r="CB334" s="26"/>
      <c r="CC334" s="26"/>
      <c r="CD334" s="26"/>
      <c r="CE334" s="26"/>
      <c r="CF334" s="26"/>
      <c r="CG334" s="26"/>
      <c r="CH334" s="26"/>
      <c r="CI334" s="26"/>
      <c r="CJ334" s="26"/>
      <c r="CK334" s="26"/>
      <c r="CL334" s="26"/>
      <c r="CM334" s="26"/>
      <c r="CN334" s="26"/>
      <c r="CO334" s="26"/>
      <c r="CP334" s="26"/>
      <c r="CQ334" s="26"/>
      <c r="CR334" s="26"/>
      <c r="CS334" s="26"/>
      <c r="CT334" s="26"/>
      <c r="CU334" s="26"/>
      <c r="CV334" s="26"/>
      <c r="CW334" s="26"/>
      <c r="CX334" s="26"/>
      <c r="CY334" s="26"/>
      <c r="CZ334" s="26"/>
      <c r="DA334" s="26"/>
      <c r="DB334" s="26"/>
      <c r="DC334" s="26"/>
      <c r="DD334" s="26"/>
    </row>
    <row r="335" spans="59:108" x14ac:dyDescent="0.2">
      <c r="BG335" s="26"/>
      <c r="BH335" s="26"/>
      <c r="BI335" s="26"/>
      <c r="BJ335" s="26"/>
      <c r="BK335" s="26"/>
      <c r="BL335" s="26"/>
      <c r="BM335" s="26"/>
      <c r="BN335" s="26"/>
      <c r="BO335" s="26"/>
      <c r="BP335" s="26"/>
      <c r="BQ335" s="26"/>
      <c r="BR335" s="26"/>
      <c r="BS335" s="26"/>
      <c r="BT335" s="26"/>
      <c r="BU335" s="26"/>
      <c r="BV335" s="26"/>
      <c r="BW335" s="26"/>
      <c r="BX335" s="26"/>
      <c r="BY335" s="26"/>
      <c r="BZ335" s="26"/>
      <c r="CA335" s="26"/>
      <c r="CB335" s="26"/>
      <c r="CC335" s="26"/>
      <c r="CD335" s="26"/>
      <c r="CE335" s="26"/>
      <c r="CF335" s="26"/>
      <c r="CG335" s="26"/>
      <c r="CH335" s="26"/>
      <c r="CI335" s="26"/>
      <c r="CJ335" s="26"/>
      <c r="CK335" s="26"/>
      <c r="CL335" s="26"/>
      <c r="CM335" s="26"/>
      <c r="CN335" s="26"/>
      <c r="CO335" s="26"/>
      <c r="CP335" s="26"/>
      <c r="CQ335" s="26"/>
      <c r="CR335" s="26"/>
      <c r="CS335" s="26"/>
      <c r="CT335" s="26"/>
      <c r="CU335" s="26"/>
      <c r="CV335" s="26"/>
      <c r="CW335" s="26"/>
      <c r="CX335" s="26"/>
      <c r="CY335" s="26"/>
      <c r="CZ335" s="26"/>
      <c r="DA335" s="26"/>
      <c r="DB335" s="26"/>
      <c r="DC335" s="26"/>
      <c r="DD335" s="26"/>
    </row>
    <row r="336" spans="59:108" x14ac:dyDescent="0.2">
      <c r="BG336" s="26"/>
      <c r="BH336" s="26"/>
      <c r="BI336" s="26"/>
      <c r="BJ336" s="26"/>
      <c r="BK336" s="26"/>
      <c r="BL336" s="26"/>
      <c r="BM336" s="26"/>
      <c r="BN336" s="26"/>
      <c r="BO336" s="26"/>
      <c r="BP336" s="26"/>
      <c r="BQ336" s="26"/>
      <c r="BR336" s="26"/>
      <c r="BS336" s="26"/>
      <c r="BT336" s="26"/>
      <c r="BU336" s="26"/>
      <c r="BV336" s="26"/>
      <c r="BW336" s="26"/>
      <c r="BX336" s="26"/>
      <c r="BY336" s="26"/>
      <c r="BZ336" s="26"/>
      <c r="CA336" s="26"/>
      <c r="CB336" s="26"/>
      <c r="CC336" s="26"/>
      <c r="CD336" s="26"/>
      <c r="CE336" s="26"/>
      <c r="CF336" s="26"/>
      <c r="CG336" s="26"/>
      <c r="CH336" s="26"/>
      <c r="CI336" s="26"/>
      <c r="CJ336" s="26"/>
      <c r="CK336" s="26"/>
      <c r="CL336" s="26"/>
      <c r="CM336" s="26"/>
      <c r="CN336" s="26"/>
      <c r="CO336" s="26"/>
      <c r="CP336" s="26"/>
      <c r="CQ336" s="26"/>
      <c r="CR336" s="26"/>
      <c r="CS336" s="26"/>
      <c r="CT336" s="26"/>
      <c r="CU336" s="26"/>
      <c r="CV336" s="26"/>
      <c r="CW336" s="26"/>
      <c r="CX336" s="26"/>
      <c r="CY336" s="26"/>
      <c r="CZ336" s="26"/>
      <c r="DA336" s="26"/>
      <c r="DB336" s="26"/>
      <c r="DC336" s="26"/>
      <c r="DD336" s="26"/>
    </row>
    <row r="337" spans="59:108" x14ac:dyDescent="0.2">
      <c r="BG337" s="26"/>
      <c r="BH337" s="26"/>
      <c r="BI337" s="26"/>
      <c r="BJ337" s="26"/>
      <c r="BK337" s="26"/>
      <c r="BL337" s="26"/>
      <c r="BM337" s="26"/>
      <c r="BN337" s="26"/>
      <c r="BO337" s="26"/>
      <c r="BP337" s="26"/>
      <c r="BQ337" s="26"/>
      <c r="BR337" s="26"/>
      <c r="BS337" s="26"/>
      <c r="BT337" s="26"/>
      <c r="BU337" s="26"/>
      <c r="BV337" s="26"/>
      <c r="BW337" s="26"/>
      <c r="BX337" s="26"/>
      <c r="BY337" s="26"/>
      <c r="BZ337" s="26"/>
      <c r="CA337" s="26"/>
      <c r="CB337" s="26"/>
      <c r="CC337" s="26"/>
      <c r="CD337" s="26"/>
      <c r="CE337" s="26"/>
      <c r="CF337" s="26"/>
      <c r="CG337" s="26"/>
      <c r="CH337" s="26"/>
      <c r="CI337" s="26"/>
      <c r="CJ337" s="26"/>
      <c r="CK337" s="26"/>
      <c r="CL337" s="26"/>
      <c r="CM337" s="26"/>
      <c r="CN337" s="26"/>
      <c r="CO337" s="26"/>
      <c r="CP337" s="26"/>
      <c r="CQ337" s="26"/>
      <c r="CR337" s="26"/>
      <c r="CS337" s="26"/>
      <c r="CT337" s="26"/>
      <c r="CU337" s="26"/>
      <c r="CV337" s="26"/>
      <c r="CW337" s="26"/>
      <c r="CX337" s="26"/>
      <c r="CY337" s="26"/>
      <c r="CZ337" s="26"/>
      <c r="DA337" s="26"/>
      <c r="DB337" s="26"/>
      <c r="DC337" s="26"/>
      <c r="DD337" s="26"/>
    </row>
    <row r="338" spans="59:108" x14ac:dyDescent="0.2">
      <c r="BG338" s="26"/>
      <c r="BH338" s="26"/>
      <c r="BI338" s="26"/>
      <c r="BJ338" s="26"/>
      <c r="BK338" s="26"/>
      <c r="BL338" s="26"/>
      <c r="BM338" s="26"/>
      <c r="BN338" s="26"/>
      <c r="BO338" s="26"/>
      <c r="BP338" s="26"/>
      <c r="BQ338" s="26"/>
      <c r="BR338" s="26"/>
      <c r="BS338" s="26"/>
      <c r="BT338" s="26"/>
      <c r="BU338" s="26"/>
      <c r="BV338" s="26"/>
      <c r="BW338" s="26"/>
      <c r="BX338" s="26"/>
      <c r="BY338" s="26"/>
      <c r="BZ338" s="26"/>
      <c r="CA338" s="26"/>
      <c r="CB338" s="26"/>
      <c r="CC338" s="26"/>
      <c r="CD338" s="26"/>
      <c r="CE338" s="26"/>
      <c r="CF338" s="26"/>
      <c r="CG338" s="26"/>
      <c r="CH338" s="26"/>
      <c r="CI338" s="26"/>
      <c r="CJ338" s="26"/>
      <c r="CK338" s="26"/>
      <c r="CL338" s="26"/>
      <c r="CM338" s="26"/>
      <c r="CN338" s="26"/>
      <c r="CO338" s="26"/>
      <c r="CP338" s="26"/>
      <c r="CQ338" s="26"/>
      <c r="CR338" s="26"/>
      <c r="CS338" s="26"/>
      <c r="CT338" s="26"/>
      <c r="CU338" s="26"/>
      <c r="CV338" s="26"/>
      <c r="CW338" s="26"/>
      <c r="CX338" s="26"/>
      <c r="CY338" s="26"/>
      <c r="CZ338" s="26"/>
      <c r="DA338" s="26"/>
      <c r="DB338" s="26"/>
      <c r="DC338" s="26"/>
      <c r="DD338" s="26"/>
    </row>
    <row r="339" spans="59:108" x14ac:dyDescent="0.2">
      <c r="BG339" s="26"/>
      <c r="BH339" s="26"/>
      <c r="BI339" s="26"/>
      <c r="BJ339" s="26"/>
      <c r="BK339" s="26"/>
      <c r="BL339" s="26"/>
      <c r="BM339" s="26"/>
      <c r="BN339" s="26"/>
      <c r="BO339" s="26"/>
      <c r="BP339" s="26"/>
      <c r="BQ339" s="26"/>
      <c r="BR339" s="26"/>
      <c r="BS339" s="26"/>
      <c r="BT339" s="26"/>
      <c r="BU339" s="26"/>
      <c r="BV339" s="26"/>
      <c r="BW339" s="26"/>
      <c r="BX339" s="26"/>
      <c r="BY339" s="26"/>
      <c r="BZ339" s="26"/>
      <c r="CA339" s="26"/>
      <c r="CB339" s="26"/>
      <c r="CC339" s="26"/>
      <c r="CD339" s="26"/>
      <c r="CE339" s="26"/>
      <c r="CF339" s="26"/>
      <c r="CG339" s="26"/>
      <c r="CH339" s="26"/>
      <c r="CI339" s="26"/>
      <c r="CJ339" s="26"/>
      <c r="CK339" s="26"/>
      <c r="CL339" s="26"/>
      <c r="CM339" s="26"/>
      <c r="CN339" s="26"/>
      <c r="CO339" s="26"/>
      <c r="CP339" s="26"/>
      <c r="CQ339" s="26"/>
      <c r="CR339" s="26"/>
      <c r="CS339" s="26"/>
      <c r="CT339" s="26"/>
      <c r="CU339" s="26"/>
      <c r="CV339" s="26"/>
      <c r="CW339" s="26"/>
      <c r="CX339" s="26"/>
      <c r="CY339" s="26"/>
      <c r="CZ339" s="26"/>
      <c r="DA339" s="26"/>
      <c r="DB339" s="26"/>
      <c r="DC339" s="26"/>
      <c r="DD339" s="26"/>
    </row>
    <row r="340" spans="59:108" x14ac:dyDescent="0.2">
      <c r="BG340" s="26"/>
      <c r="BH340" s="26"/>
      <c r="BI340" s="26"/>
      <c r="BJ340" s="26"/>
      <c r="BK340" s="26"/>
      <c r="BL340" s="26"/>
      <c r="BM340" s="26"/>
      <c r="BN340" s="26"/>
      <c r="BO340" s="26"/>
      <c r="BP340" s="26"/>
      <c r="BQ340" s="26"/>
      <c r="BR340" s="26"/>
      <c r="BS340" s="26"/>
      <c r="BT340" s="26"/>
      <c r="BU340" s="26"/>
      <c r="BV340" s="26"/>
      <c r="BW340" s="26"/>
      <c r="BX340" s="26"/>
      <c r="BY340" s="26"/>
      <c r="BZ340" s="26"/>
      <c r="CA340" s="26"/>
      <c r="CB340" s="26"/>
      <c r="CC340" s="26"/>
      <c r="CD340" s="26"/>
      <c r="CE340" s="26"/>
      <c r="CF340" s="26"/>
      <c r="CG340" s="26"/>
      <c r="CH340" s="26"/>
      <c r="CI340" s="26"/>
      <c r="CJ340" s="26"/>
      <c r="CK340" s="26"/>
      <c r="CL340" s="26"/>
      <c r="CM340" s="26"/>
      <c r="CN340" s="26"/>
      <c r="CO340" s="26"/>
      <c r="CP340" s="26"/>
      <c r="CQ340" s="26"/>
      <c r="CR340" s="26"/>
      <c r="CS340" s="26"/>
      <c r="CT340" s="26"/>
      <c r="CU340" s="26"/>
      <c r="CV340" s="26"/>
      <c r="CW340" s="26"/>
      <c r="CX340" s="26"/>
      <c r="CY340" s="26"/>
      <c r="CZ340" s="26"/>
      <c r="DA340" s="26"/>
      <c r="DB340" s="26"/>
      <c r="DC340" s="26"/>
      <c r="DD340" s="26"/>
    </row>
    <row r="341" spans="59:108" x14ac:dyDescent="0.2">
      <c r="BG341" s="26"/>
      <c r="BH341" s="26"/>
      <c r="BI341" s="26"/>
      <c r="BJ341" s="26"/>
      <c r="BK341" s="26"/>
      <c r="BL341" s="26"/>
      <c r="BM341" s="26"/>
      <c r="BN341" s="26"/>
      <c r="BO341" s="26"/>
      <c r="BP341" s="26"/>
      <c r="BQ341" s="26"/>
      <c r="BR341" s="26"/>
      <c r="BS341" s="26"/>
      <c r="BT341" s="26"/>
      <c r="BU341" s="26"/>
      <c r="BV341" s="26"/>
      <c r="BW341" s="26"/>
      <c r="BX341" s="26"/>
      <c r="BY341" s="26"/>
      <c r="BZ341" s="26"/>
      <c r="CA341" s="26"/>
      <c r="CB341" s="26"/>
      <c r="CC341" s="26"/>
      <c r="CD341" s="26"/>
      <c r="CE341" s="26"/>
      <c r="CF341" s="26"/>
      <c r="CG341" s="26"/>
      <c r="CH341" s="26"/>
      <c r="CI341" s="26"/>
      <c r="CJ341" s="26"/>
      <c r="CK341" s="26"/>
      <c r="CL341" s="26"/>
      <c r="CM341" s="26"/>
      <c r="CN341" s="26"/>
      <c r="CO341" s="26"/>
      <c r="CP341" s="26"/>
      <c r="CQ341" s="26"/>
      <c r="CR341" s="26"/>
      <c r="CS341" s="26"/>
      <c r="CT341" s="26"/>
      <c r="CU341" s="26"/>
      <c r="CV341" s="26"/>
      <c r="CW341" s="26"/>
      <c r="CX341" s="26"/>
      <c r="CY341" s="26"/>
      <c r="CZ341" s="26"/>
      <c r="DA341" s="26"/>
      <c r="DB341" s="26"/>
      <c r="DC341" s="26"/>
      <c r="DD341" s="26"/>
    </row>
    <row r="342" spans="59:108" x14ac:dyDescent="0.2">
      <c r="BG342" s="26"/>
      <c r="BH342" s="26"/>
      <c r="BI342" s="26"/>
      <c r="BJ342" s="26"/>
      <c r="BK342" s="26"/>
      <c r="BL342" s="26"/>
      <c r="BM342" s="26"/>
      <c r="BN342" s="26"/>
      <c r="BO342" s="26"/>
      <c r="BP342" s="26"/>
      <c r="BQ342" s="26"/>
      <c r="BR342" s="26"/>
      <c r="BS342" s="26"/>
      <c r="BT342" s="26"/>
      <c r="BU342" s="26"/>
      <c r="BV342" s="26"/>
      <c r="BW342" s="26"/>
      <c r="BX342" s="26"/>
      <c r="BY342" s="26"/>
      <c r="BZ342" s="26"/>
      <c r="CA342" s="26"/>
      <c r="CB342" s="26"/>
      <c r="CC342" s="26"/>
      <c r="CD342" s="26"/>
      <c r="CE342" s="26"/>
      <c r="CF342" s="26"/>
      <c r="CG342" s="26"/>
      <c r="CH342" s="26"/>
      <c r="CI342" s="26"/>
      <c r="CJ342" s="26"/>
      <c r="CK342" s="26"/>
      <c r="CL342" s="26"/>
      <c r="CM342" s="26"/>
      <c r="CN342" s="26"/>
      <c r="CO342" s="26"/>
      <c r="CP342" s="26"/>
      <c r="CQ342" s="26"/>
      <c r="CR342" s="26"/>
      <c r="CS342" s="26"/>
      <c r="CT342" s="26"/>
      <c r="CU342" s="26"/>
      <c r="CV342" s="26"/>
      <c r="CW342" s="26"/>
      <c r="CX342" s="26"/>
      <c r="CY342" s="26"/>
      <c r="CZ342" s="26"/>
      <c r="DA342" s="26"/>
      <c r="DB342" s="26"/>
      <c r="DC342" s="26"/>
      <c r="DD342" s="26"/>
    </row>
    <row r="343" spans="59:108" x14ac:dyDescent="0.2">
      <c r="BG343" s="26"/>
      <c r="BH343" s="26"/>
      <c r="BI343" s="26"/>
      <c r="BJ343" s="26"/>
      <c r="BK343" s="26"/>
      <c r="BL343" s="26"/>
      <c r="BM343" s="26"/>
      <c r="BN343" s="26"/>
      <c r="BO343" s="26"/>
      <c r="BP343" s="26"/>
      <c r="BQ343" s="26"/>
      <c r="BR343" s="26"/>
      <c r="BS343" s="26"/>
      <c r="BT343" s="26"/>
      <c r="BU343" s="26"/>
      <c r="BV343" s="26"/>
      <c r="BW343" s="26"/>
      <c r="BX343" s="26"/>
      <c r="BY343" s="26"/>
      <c r="BZ343" s="26"/>
      <c r="CA343" s="26"/>
      <c r="CB343" s="26"/>
      <c r="CC343" s="26"/>
      <c r="CD343" s="26"/>
      <c r="CE343" s="26"/>
      <c r="CF343" s="26"/>
      <c r="CG343" s="26"/>
      <c r="CH343" s="26"/>
      <c r="CI343" s="26"/>
      <c r="CJ343" s="26"/>
      <c r="CK343" s="26"/>
      <c r="CL343" s="26"/>
      <c r="CM343" s="26"/>
      <c r="CN343" s="26"/>
      <c r="CO343" s="26"/>
      <c r="CP343" s="26"/>
      <c r="CQ343" s="26"/>
      <c r="CR343" s="26"/>
      <c r="CS343" s="26"/>
      <c r="CT343" s="26"/>
      <c r="CU343" s="26"/>
      <c r="CV343" s="26"/>
      <c r="CW343" s="26"/>
      <c r="CX343" s="26"/>
      <c r="CY343" s="26"/>
      <c r="CZ343" s="26"/>
      <c r="DA343" s="26"/>
      <c r="DB343" s="26"/>
      <c r="DC343" s="26"/>
      <c r="DD343" s="26"/>
    </row>
    <row r="344" spans="59:108" x14ac:dyDescent="0.2">
      <c r="BG344" s="26"/>
      <c r="BH344" s="26"/>
      <c r="BI344" s="26"/>
      <c r="BJ344" s="26"/>
      <c r="BK344" s="26"/>
      <c r="BL344" s="26"/>
      <c r="BM344" s="26"/>
      <c r="BN344" s="26"/>
      <c r="BO344" s="26"/>
      <c r="BP344" s="26"/>
      <c r="BQ344" s="26"/>
      <c r="BR344" s="26"/>
      <c r="BS344" s="26"/>
      <c r="BT344" s="26"/>
      <c r="BU344" s="26"/>
      <c r="BV344" s="26"/>
      <c r="BW344" s="26"/>
      <c r="BX344" s="26"/>
      <c r="BY344" s="26"/>
      <c r="BZ344" s="26"/>
      <c r="CA344" s="26"/>
      <c r="CB344" s="26"/>
      <c r="CC344" s="26"/>
      <c r="CD344" s="26"/>
      <c r="CE344" s="26"/>
      <c r="CF344" s="26"/>
      <c r="CG344" s="26"/>
      <c r="CH344" s="26"/>
      <c r="CI344" s="26"/>
      <c r="CJ344" s="26"/>
      <c r="CK344" s="26"/>
      <c r="CL344" s="26"/>
      <c r="CM344" s="26"/>
      <c r="CN344" s="26"/>
      <c r="CO344" s="26"/>
      <c r="CP344" s="26"/>
      <c r="CQ344" s="26"/>
      <c r="CR344" s="26"/>
      <c r="CS344" s="26"/>
      <c r="CT344" s="26"/>
      <c r="CU344" s="26"/>
      <c r="CV344" s="26"/>
      <c r="CW344" s="26"/>
      <c r="CX344" s="26"/>
      <c r="CY344" s="26"/>
      <c r="CZ344" s="26"/>
      <c r="DA344" s="26"/>
      <c r="DB344" s="26"/>
      <c r="DC344" s="26"/>
      <c r="DD344" s="26"/>
    </row>
    <row r="345" spans="59:108" x14ac:dyDescent="0.2">
      <c r="BG345" s="26"/>
      <c r="BH345" s="26"/>
      <c r="BI345" s="26"/>
      <c r="BJ345" s="26"/>
      <c r="BK345" s="26"/>
      <c r="BL345" s="26"/>
      <c r="BM345" s="26"/>
      <c r="BN345" s="26"/>
      <c r="BO345" s="26"/>
      <c r="BP345" s="26"/>
      <c r="BQ345" s="26"/>
      <c r="BR345" s="26"/>
      <c r="BS345" s="26"/>
      <c r="BT345" s="26"/>
      <c r="BU345" s="26"/>
      <c r="BV345" s="26"/>
      <c r="BW345" s="26"/>
      <c r="BX345" s="26"/>
      <c r="BY345" s="26"/>
      <c r="BZ345" s="26"/>
      <c r="CA345" s="26"/>
      <c r="CB345" s="26"/>
      <c r="CC345" s="26"/>
      <c r="CD345" s="26"/>
      <c r="CE345" s="26"/>
      <c r="CF345" s="26"/>
      <c r="CG345" s="26"/>
      <c r="CH345" s="26"/>
      <c r="CI345" s="26"/>
      <c r="CJ345" s="26"/>
      <c r="CK345" s="26"/>
      <c r="CL345" s="26"/>
      <c r="CM345" s="26"/>
      <c r="CN345" s="26"/>
      <c r="CO345" s="26"/>
      <c r="CP345" s="26"/>
      <c r="CQ345" s="26"/>
      <c r="CR345" s="26"/>
      <c r="CS345" s="26"/>
      <c r="CT345" s="26"/>
      <c r="CU345" s="26"/>
      <c r="CV345" s="26"/>
      <c r="CW345" s="26"/>
      <c r="CX345" s="26"/>
      <c r="CY345" s="26"/>
      <c r="CZ345" s="26"/>
      <c r="DA345" s="26"/>
      <c r="DB345" s="26"/>
      <c r="DC345" s="26"/>
      <c r="DD345" s="26"/>
    </row>
    <row r="346" spans="59:108" x14ac:dyDescent="0.2">
      <c r="BG346" s="26"/>
      <c r="BH346" s="26"/>
      <c r="BI346" s="26"/>
      <c r="BJ346" s="26"/>
      <c r="BK346" s="26"/>
      <c r="BL346" s="26"/>
      <c r="BM346" s="26"/>
      <c r="BN346" s="26"/>
      <c r="BO346" s="26"/>
      <c r="BP346" s="26"/>
      <c r="BQ346" s="26"/>
      <c r="BR346" s="26"/>
      <c r="BS346" s="26"/>
      <c r="BT346" s="26"/>
      <c r="BU346" s="26"/>
      <c r="BV346" s="26"/>
      <c r="BW346" s="26"/>
      <c r="BX346" s="26"/>
      <c r="BY346" s="26"/>
      <c r="BZ346" s="26"/>
      <c r="CA346" s="26"/>
      <c r="CB346" s="26"/>
      <c r="CC346" s="26"/>
      <c r="CD346" s="26"/>
      <c r="CE346" s="26"/>
      <c r="CF346" s="26"/>
      <c r="CG346" s="26"/>
      <c r="CH346" s="26"/>
      <c r="CI346" s="26"/>
      <c r="CJ346" s="26"/>
      <c r="CK346" s="26"/>
      <c r="CL346" s="26"/>
      <c r="CM346" s="26"/>
      <c r="CN346" s="26"/>
      <c r="CO346" s="26"/>
      <c r="CP346" s="26"/>
      <c r="CQ346" s="26"/>
      <c r="CR346" s="26"/>
      <c r="CS346" s="26"/>
      <c r="CT346" s="26"/>
      <c r="CU346" s="26"/>
      <c r="CV346" s="26"/>
      <c r="CW346" s="26"/>
      <c r="CX346" s="26"/>
      <c r="CY346" s="26"/>
      <c r="CZ346" s="26"/>
      <c r="DA346" s="26"/>
      <c r="DB346" s="26"/>
      <c r="DC346" s="26"/>
      <c r="DD346" s="26"/>
    </row>
    <row r="347" spans="59:108" x14ac:dyDescent="0.2">
      <c r="BG347" s="26"/>
      <c r="BH347" s="26"/>
      <c r="BI347" s="26"/>
      <c r="BJ347" s="26"/>
      <c r="BK347" s="26"/>
      <c r="BL347" s="26"/>
      <c r="BM347" s="26"/>
      <c r="BN347" s="26"/>
      <c r="BO347" s="26"/>
      <c r="BP347" s="26"/>
      <c r="BQ347" s="26"/>
      <c r="BR347" s="26"/>
      <c r="BS347" s="26"/>
      <c r="BT347" s="26"/>
      <c r="BU347" s="26"/>
      <c r="BV347" s="26"/>
      <c r="BW347" s="26"/>
      <c r="BX347" s="26"/>
      <c r="BY347" s="26"/>
      <c r="BZ347" s="26"/>
      <c r="CA347" s="26"/>
      <c r="CB347" s="26"/>
      <c r="CC347" s="26"/>
      <c r="CD347" s="26"/>
      <c r="CE347" s="26"/>
      <c r="CF347" s="26"/>
      <c r="CG347" s="26"/>
      <c r="CH347" s="26"/>
      <c r="CI347" s="26"/>
      <c r="CJ347" s="26"/>
      <c r="CK347" s="26"/>
      <c r="CL347" s="26"/>
      <c r="CM347" s="26"/>
      <c r="CN347" s="26"/>
      <c r="CO347" s="26"/>
      <c r="CP347" s="26"/>
      <c r="CQ347" s="26"/>
      <c r="CR347" s="26"/>
      <c r="CS347" s="26"/>
      <c r="CT347" s="26"/>
      <c r="CU347" s="26"/>
      <c r="CV347" s="26"/>
      <c r="CW347" s="26"/>
      <c r="CX347" s="26"/>
      <c r="CY347" s="26"/>
      <c r="CZ347" s="26"/>
      <c r="DA347" s="26"/>
      <c r="DB347" s="26"/>
      <c r="DC347" s="26"/>
      <c r="DD347" s="26"/>
    </row>
    <row r="348" spans="59:108" x14ac:dyDescent="0.2">
      <c r="BG348" s="26"/>
      <c r="BH348" s="26"/>
      <c r="BI348" s="26"/>
      <c r="BJ348" s="26"/>
      <c r="BK348" s="26"/>
      <c r="BL348" s="26"/>
      <c r="BM348" s="26"/>
      <c r="BN348" s="26"/>
      <c r="BO348" s="26"/>
      <c r="BP348" s="26"/>
      <c r="BQ348" s="26"/>
      <c r="BR348" s="26"/>
      <c r="BS348" s="26"/>
      <c r="BT348" s="26"/>
      <c r="BU348" s="26"/>
      <c r="BV348" s="26"/>
      <c r="BW348" s="26"/>
      <c r="BX348" s="26"/>
      <c r="BY348" s="26"/>
      <c r="BZ348" s="26"/>
      <c r="CA348" s="26"/>
      <c r="CB348" s="26"/>
      <c r="CC348" s="26"/>
      <c r="CD348" s="26"/>
      <c r="CE348" s="26"/>
      <c r="CF348" s="26"/>
      <c r="CG348" s="26"/>
      <c r="CH348" s="26"/>
      <c r="CI348" s="26"/>
      <c r="CJ348" s="26"/>
      <c r="CK348" s="26"/>
      <c r="CL348" s="26"/>
      <c r="CM348" s="26"/>
      <c r="CN348" s="26"/>
      <c r="CO348" s="26"/>
      <c r="CP348" s="26"/>
      <c r="CQ348" s="26"/>
      <c r="CR348" s="26"/>
      <c r="CS348" s="26"/>
      <c r="CT348" s="26"/>
      <c r="CU348" s="26"/>
      <c r="CV348" s="26"/>
      <c r="CW348" s="26"/>
      <c r="CX348" s="26"/>
      <c r="CY348" s="26"/>
      <c r="CZ348" s="26"/>
      <c r="DA348" s="26"/>
      <c r="DB348" s="26"/>
      <c r="DC348" s="26"/>
      <c r="DD348" s="26"/>
    </row>
    <row r="349" spans="59:108" x14ac:dyDescent="0.2">
      <c r="BG349" s="26"/>
      <c r="BH349" s="26"/>
      <c r="BI349" s="26"/>
      <c r="BJ349" s="26"/>
      <c r="BK349" s="26"/>
      <c r="BL349" s="26"/>
      <c r="BM349" s="26"/>
      <c r="BN349" s="26"/>
      <c r="BO349" s="26"/>
      <c r="BP349" s="26"/>
      <c r="BQ349" s="26"/>
      <c r="BR349" s="26"/>
      <c r="BS349" s="26"/>
      <c r="BT349" s="26"/>
      <c r="BU349" s="26"/>
      <c r="BV349" s="26"/>
      <c r="BW349" s="26"/>
      <c r="BX349" s="26"/>
      <c r="BY349" s="26"/>
      <c r="BZ349" s="26"/>
      <c r="CA349" s="26"/>
      <c r="CB349" s="26"/>
      <c r="CC349" s="26"/>
      <c r="CD349" s="26"/>
      <c r="CE349" s="26"/>
      <c r="CF349" s="26"/>
      <c r="CG349" s="26"/>
      <c r="CH349" s="26"/>
      <c r="CI349" s="26"/>
      <c r="CJ349" s="26"/>
      <c r="CK349" s="26"/>
      <c r="CL349" s="26"/>
      <c r="CM349" s="26"/>
      <c r="CN349" s="26"/>
      <c r="CO349" s="26"/>
      <c r="CP349" s="26"/>
      <c r="CQ349" s="26"/>
      <c r="CR349" s="26"/>
      <c r="CS349" s="26"/>
      <c r="CT349" s="26"/>
      <c r="CU349" s="26"/>
      <c r="CV349" s="26"/>
      <c r="CW349" s="26"/>
      <c r="CX349" s="26"/>
      <c r="CY349" s="26"/>
      <c r="CZ349" s="26"/>
      <c r="DA349" s="26"/>
      <c r="DB349" s="26"/>
      <c r="DC349" s="26"/>
      <c r="DD349" s="26"/>
    </row>
    <row r="350" spans="59:108" x14ac:dyDescent="0.2">
      <c r="BG350" s="26"/>
      <c r="BH350" s="26"/>
      <c r="BI350" s="26"/>
      <c r="BJ350" s="26"/>
      <c r="BK350" s="26"/>
      <c r="BL350" s="26"/>
      <c r="BM350" s="26"/>
      <c r="BN350" s="26"/>
      <c r="BO350" s="26"/>
      <c r="BP350" s="26"/>
      <c r="BQ350" s="26"/>
      <c r="BR350" s="26"/>
      <c r="BS350" s="26"/>
      <c r="BT350" s="26"/>
      <c r="BU350" s="26"/>
      <c r="BV350" s="26"/>
      <c r="BW350" s="26"/>
      <c r="BX350" s="26"/>
      <c r="BY350" s="26"/>
      <c r="BZ350" s="26"/>
      <c r="CA350" s="26"/>
      <c r="CB350" s="26"/>
      <c r="CC350" s="26"/>
      <c r="CD350" s="26"/>
      <c r="CE350" s="26"/>
      <c r="CF350" s="26"/>
      <c r="CG350" s="26"/>
      <c r="CH350" s="26"/>
      <c r="CI350" s="26"/>
      <c r="CJ350" s="26"/>
      <c r="CK350" s="26"/>
      <c r="CL350" s="26"/>
      <c r="CM350" s="26"/>
      <c r="CN350" s="26"/>
      <c r="CO350" s="26"/>
      <c r="CP350" s="26"/>
      <c r="CQ350" s="26"/>
      <c r="CR350" s="26"/>
      <c r="CS350" s="26"/>
      <c r="CT350" s="26"/>
      <c r="CU350" s="26"/>
      <c r="CV350" s="26"/>
      <c r="CW350" s="26"/>
      <c r="CX350" s="26"/>
      <c r="CY350" s="26"/>
      <c r="CZ350" s="26"/>
      <c r="DA350" s="26"/>
      <c r="DB350" s="26"/>
      <c r="DC350" s="26"/>
      <c r="DD350" s="26"/>
    </row>
    <row r="351" spans="59:108" x14ac:dyDescent="0.2">
      <c r="BG351" s="26"/>
      <c r="BH351" s="26"/>
      <c r="BI351" s="26"/>
      <c r="BJ351" s="26"/>
      <c r="BK351" s="26"/>
      <c r="BL351" s="26"/>
      <c r="BM351" s="26"/>
      <c r="BN351" s="26"/>
      <c r="BO351" s="26"/>
      <c r="BP351" s="26"/>
      <c r="BQ351" s="26"/>
      <c r="BR351" s="26"/>
      <c r="BS351" s="26"/>
      <c r="BT351" s="26"/>
      <c r="BU351" s="26"/>
      <c r="BV351" s="26"/>
      <c r="BW351" s="26"/>
      <c r="BX351" s="26"/>
      <c r="BY351" s="26"/>
      <c r="BZ351" s="26"/>
      <c r="CA351" s="26"/>
      <c r="CB351" s="26"/>
      <c r="CC351" s="26"/>
      <c r="CD351" s="26"/>
      <c r="CE351" s="26"/>
      <c r="CF351" s="26"/>
      <c r="CG351" s="26"/>
      <c r="CH351" s="26"/>
      <c r="CI351" s="26"/>
      <c r="CJ351" s="26"/>
      <c r="CK351" s="26"/>
      <c r="CL351" s="26"/>
      <c r="CM351" s="26"/>
      <c r="CN351" s="26"/>
      <c r="CO351" s="26"/>
      <c r="CP351" s="26"/>
      <c r="CQ351" s="26"/>
      <c r="CR351" s="26"/>
      <c r="CS351" s="26"/>
      <c r="CT351" s="26"/>
      <c r="CU351" s="26"/>
      <c r="CV351" s="26"/>
      <c r="CW351" s="26"/>
      <c r="CX351" s="26"/>
      <c r="CY351" s="26"/>
      <c r="CZ351" s="26"/>
      <c r="DA351" s="26"/>
      <c r="DB351" s="26"/>
      <c r="DC351" s="26"/>
      <c r="DD351" s="26"/>
    </row>
    <row r="352" spans="59:108" x14ac:dyDescent="0.2">
      <c r="BG352" s="26"/>
      <c r="BH352" s="26"/>
      <c r="BI352" s="26"/>
      <c r="BJ352" s="26"/>
      <c r="BK352" s="26"/>
      <c r="BL352" s="26"/>
      <c r="BM352" s="26"/>
      <c r="BN352" s="26"/>
      <c r="BO352" s="26"/>
      <c r="BP352" s="26"/>
      <c r="BQ352" s="26"/>
      <c r="BR352" s="26"/>
      <c r="BS352" s="26"/>
      <c r="BT352" s="26"/>
      <c r="BU352" s="26"/>
      <c r="BV352" s="26"/>
      <c r="BW352" s="26"/>
      <c r="BX352" s="26"/>
      <c r="BY352" s="26"/>
      <c r="BZ352" s="26"/>
      <c r="CA352" s="26"/>
      <c r="CB352" s="26"/>
      <c r="CC352" s="26"/>
      <c r="CD352" s="26"/>
      <c r="CE352" s="26"/>
      <c r="CF352" s="26"/>
      <c r="CG352" s="26"/>
      <c r="CH352" s="26"/>
      <c r="CI352" s="26"/>
      <c r="CJ352" s="26"/>
      <c r="CK352" s="26"/>
      <c r="CL352" s="26"/>
      <c r="CM352" s="26"/>
      <c r="CN352" s="26"/>
      <c r="CO352" s="26"/>
      <c r="CP352" s="26"/>
      <c r="CQ352" s="26"/>
      <c r="CR352" s="26"/>
      <c r="CS352" s="26"/>
      <c r="CT352" s="26"/>
      <c r="CU352" s="26"/>
      <c r="CV352" s="26"/>
      <c r="CW352" s="26"/>
      <c r="CX352" s="26"/>
      <c r="CY352" s="26"/>
      <c r="CZ352" s="26"/>
      <c r="DA352" s="26"/>
      <c r="DB352" s="26"/>
      <c r="DC352" s="26"/>
      <c r="DD352" s="26"/>
    </row>
    <row r="353" spans="59:108" x14ac:dyDescent="0.2">
      <c r="BG353" s="26"/>
      <c r="BH353" s="26"/>
      <c r="BI353" s="26"/>
      <c r="BJ353" s="26"/>
      <c r="BK353" s="26"/>
      <c r="BL353" s="26"/>
      <c r="BM353" s="26"/>
      <c r="BN353" s="26"/>
      <c r="BO353" s="26"/>
      <c r="BP353" s="26"/>
      <c r="BQ353" s="26"/>
      <c r="BR353" s="26"/>
      <c r="BS353" s="26"/>
      <c r="BT353" s="26"/>
      <c r="BU353" s="26"/>
      <c r="BV353" s="26"/>
      <c r="BW353" s="26"/>
      <c r="BX353" s="26"/>
      <c r="BY353" s="26"/>
      <c r="BZ353" s="26"/>
      <c r="CA353" s="26"/>
      <c r="CB353" s="26"/>
      <c r="CC353" s="26"/>
      <c r="CD353" s="26"/>
      <c r="CE353" s="26"/>
      <c r="CF353" s="26"/>
      <c r="CG353" s="26"/>
      <c r="CH353" s="26"/>
      <c r="CI353" s="26"/>
      <c r="CJ353" s="26"/>
      <c r="CK353" s="26"/>
      <c r="CL353" s="26"/>
      <c r="CM353" s="26"/>
      <c r="CN353" s="26"/>
      <c r="CO353" s="26"/>
      <c r="CP353" s="26"/>
      <c r="CQ353" s="26"/>
      <c r="CR353" s="26"/>
      <c r="CS353" s="26"/>
      <c r="CT353" s="26"/>
      <c r="CU353" s="26"/>
      <c r="CV353" s="26"/>
      <c r="CW353" s="26"/>
      <c r="CX353" s="26"/>
      <c r="CY353" s="26"/>
      <c r="CZ353" s="26"/>
      <c r="DA353" s="26"/>
      <c r="DB353" s="26"/>
      <c r="DC353" s="26"/>
      <c r="DD353" s="26"/>
    </row>
    <row r="354" spans="59:108" x14ac:dyDescent="0.2">
      <c r="BG354" s="26"/>
      <c r="BH354" s="26"/>
      <c r="BI354" s="26"/>
      <c r="BJ354" s="26"/>
      <c r="BK354" s="26"/>
      <c r="BL354" s="26"/>
      <c r="BM354" s="26"/>
      <c r="BN354" s="26"/>
      <c r="BO354" s="26"/>
      <c r="BP354" s="26"/>
      <c r="BQ354" s="26"/>
      <c r="BR354" s="26"/>
      <c r="BS354" s="26"/>
      <c r="BT354" s="26"/>
      <c r="BU354" s="26"/>
      <c r="BV354" s="26"/>
      <c r="BW354" s="26"/>
      <c r="BX354" s="26"/>
      <c r="BY354" s="26"/>
      <c r="BZ354" s="26"/>
      <c r="CA354" s="26"/>
      <c r="CB354" s="26"/>
      <c r="CC354" s="26"/>
      <c r="CD354" s="26"/>
      <c r="CE354" s="26"/>
      <c r="CF354" s="26"/>
      <c r="CG354" s="26"/>
      <c r="CH354" s="26"/>
      <c r="CI354" s="26"/>
      <c r="CJ354" s="26"/>
      <c r="CK354" s="26"/>
      <c r="CL354" s="26"/>
      <c r="CM354" s="26"/>
      <c r="CN354" s="26"/>
      <c r="CO354" s="26"/>
      <c r="CP354" s="26"/>
      <c r="CQ354" s="26"/>
      <c r="CR354" s="26"/>
      <c r="CS354" s="26"/>
      <c r="CT354" s="26"/>
      <c r="CU354" s="26"/>
      <c r="CV354" s="26"/>
      <c r="CW354" s="26"/>
      <c r="CX354" s="26"/>
      <c r="CY354" s="26"/>
      <c r="CZ354" s="26"/>
      <c r="DA354" s="26"/>
      <c r="DB354" s="26"/>
      <c r="DC354" s="26"/>
      <c r="DD354" s="26"/>
    </row>
    <row r="355" spans="59:108" x14ac:dyDescent="0.2">
      <c r="BG355" s="26"/>
      <c r="BH355" s="26"/>
      <c r="BI355" s="26"/>
      <c r="BJ355" s="26"/>
      <c r="BK355" s="26"/>
      <c r="BL355" s="26"/>
      <c r="BM355" s="26"/>
      <c r="BN355" s="26"/>
      <c r="BO355" s="26"/>
      <c r="BP355" s="26"/>
      <c r="BQ355" s="26"/>
      <c r="BR355" s="26"/>
      <c r="BS355" s="26"/>
      <c r="BT355" s="26"/>
      <c r="BU355" s="26"/>
      <c r="BV355" s="26"/>
      <c r="BW355" s="26"/>
      <c r="BX355" s="26"/>
      <c r="BY355" s="26"/>
      <c r="BZ355" s="26"/>
      <c r="CA355" s="26"/>
      <c r="CB355" s="26"/>
      <c r="CC355" s="26"/>
      <c r="CD355" s="26"/>
      <c r="CE355" s="26"/>
      <c r="CF355" s="26"/>
      <c r="CG355" s="26"/>
      <c r="CH355" s="26"/>
      <c r="CI355" s="26"/>
      <c r="CJ355" s="26"/>
      <c r="CK355" s="26"/>
      <c r="CL355" s="26"/>
      <c r="CM355" s="26"/>
      <c r="CN355" s="26"/>
      <c r="CO355" s="26"/>
      <c r="CP355" s="26"/>
      <c r="CQ355" s="26"/>
      <c r="CR355" s="26"/>
      <c r="CS355" s="26"/>
      <c r="CT355" s="26"/>
      <c r="CU355" s="26"/>
      <c r="CV355" s="26"/>
      <c r="CW355" s="26"/>
      <c r="CX355" s="26"/>
      <c r="CY355" s="26"/>
      <c r="CZ355" s="26"/>
      <c r="DA355" s="26"/>
      <c r="DB355" s="26"/>
      <c r="DC355" s="26"/>
      <c r="DD355" s="26"/>
    </row>
    <row r="356" spans="59:108" x14ac:dyDescent="0.2">
      <c r="BG356" s="26"/>
      <c r="BH356" s="26"/>
      <c r="BI356" s="26"/>
      <c r="BJ356" s="26"/>
      <c r="BK356" s="26"/>
      <c r="BL356" s="26"/>
      <c r="BM356" s="26"/>
      <c r="BN356" s="26"/>
      <c r="BO356" s="26"/>
      <c r="BP356" s="26"/>
      <c r="BQ356" s="26"/>
      <c r="BR356" s="26"/>
      <c r="BS356" s="26"/>
      <c r="BT356" s="26"/>
      <c r="BU356" s="26"/>
      <c r="BV356" s="26"/>
      <c r="BW356" s="26"/>
      <c r="BX356" s="26"/>
      <c r="BY356" s="26"/>
      <c r="BZ356" s="26"/>
      <c r="CA356" s="26"/>
      <c r="CB356" s="26"/>
      <c r="CC356" s="26"/>
      <c r="CD356" s="26"/>
      <c r="CE356" s="26"/>
      <c r="CF356" s="26"/>
      <c r="CG356" s="26"/>
      <c r="CH356" s="26"/>
      <c r="CI356" s="26"/>
      <c r="CJ356" s="26"/>
      <c r="CK356" s="26"/>
      <c r="CL356" s="26"/>
      <c r="CM356" s="26"/>
      <c r="CN356" s="26"/>
      <c r="CO356" s="26"/>
      <c r="CP356" s="26"/>
      <c r="CQ356" s="26"/>
      <c r="CR356" s="26"/>
      <c r="CS356" s="26"/>
      <c r="CT356" s="26"/>
      <c r="CU356" s="26"/>
      <c r="CV356" s="26"/>
      <c r="CW356" s="26"/>
      <c r="CX356" s="26"/>
      <c r="CY356" s="26"/>
      <c r="CZ356" s="26"/>
      <c r="DA356" s="26"/>
      <c r="DB356" s="26"/>
      <c r="DC356" s="26"/>
      <c r="DD356" s="26"/>
    </row>
    <row r="357" spans="59:108" x14ac:dyDescent="0.2">
      <c r="BG357" s="26"/>
      <c r="BH357" s="26"/>
      <c r="BI357" s="26"/>
      <c r="BJ357" s="26"/>
      <c r="BK357" s="26"/>
      <c r="BL357" s="26"/>
      <c r="BM357" s="26"/>
      <c r="BN357" s="26"/>
      <c r="BO357" s="26"/>
      <c r="BP357" s="26"/>
      <c r="BQ357" s="26"/>
      <c r="BR357" s="26"/>
      <c r="BS357" s="26"/>
      <c r="BT357" s="26"/>
      <c r="BU357" s="26"/>
      <c r="BV357" s="26"/>
      <c r="BW357" s="26"/>
      <c r="BX357" s="26"/>
      <c r="BY357" s="26"/>
      <c r="BZ357" s="26"/>
      <c r="CA357" s="26"/>
      <c r="CB357" s="26"/>
      <c r="CC357" s="26"/>
      <c r="CD357" s="26"/>
      <c r="CE357" s="26"/>
      <c r="CF357" s="26"/>
      <c r="CG357" s="26"/>
      <c r="CH357" s="26"/>
      <c r="CI357" s="26"/>
      <c r="CJ357" s="26"/>
      <c r="CK357" s="26"/>
      <c r="CL357" s="26"/>
      <c r="CM357" s="26"/>
      <c r="CN357" s="26"/>
      <c r="CO357" s="26"/>
      <c r="CP357" s="26"/>
      <c r="CQ357" s="26"/>
      <c r="CR357" s="26"/>
      <c r="CS357" s="26"/>
      <c r="CT357" s="26"/>
      <c r="CU357" s="26"/>
      <c r="CV357" s="26"/>
      <c r="CW357" s="26"/>
      <c r="CX357" s="26"/>
      <c r="CY357" s="26"/>
      <c r="CZ357" s="26"/>
      <c r="DA357" s="26"/>
      <c r="DB357" s="26"/>
      <c r="DC357" s="26"/>
      <c r="DD357" s="26"/>
    </row>
    <row r="358" spans="59:108" x14ac:dyDescent="0.2">
      <c r="BG358" s="26"/>
      <c r="BH358" s="26"/>
      <c r="BI358" s="26"/>
      <c r="BJ358" s="26"/>
      <c r="BK358" s="26"/>
      <c r="BL358" s="26"/>
      <c r="BM358" s="26"/>
      <c r="BN358" s="26"/>
      <c r="BO358" s="26"/>
      <c r="BP358" s="26"/>
      <c r="BQ358" s="26"/>
      <c r="BR358" s="26"/>
      <c r="BS358" s="26"/>
      <c r="BT358" s="26"/>
      <c r="BU358" s="26"/>
      <c r="BV358" s="26"/>
      <c r="BW358" s="26"/>
      <c r="BX358" s="26"/>
      <c r="BY358" s="26"/>
      <c r="BZ358" s="26"/>
      <c r="CA358" s="26"/>
      <c r="CB358" s="26"/>
      <c r="CC358" s="26"/>
      <c r="CD358" s="26"/>
      <c r="CE358" s="26"/>
      <c r="CF358" s="26"/>
      <c r="CG358" s="26"/>
      <c r="CH358" s="26"/>
      <c r="CI358" s="26"/>
      <c r="CJ358" s="26"/>
      <c r="CK358" s="26"/>
      <c r="CL358" s="26"/>
      <c r="CM358" s="26"/>
      <c r="CN358" s="26"/>
      <c r="CO358" s="26"/>
      <c r="CP358" s="26"/>
      <c r="CQ358" s="26"/>
      <c r="CR358" s="26"/>
      <c r="CS358" s="26"/>
      <c r="CT358" s="26"/>
      <c r="CU358" s="26"/>
      <c r="CV358" s="26"/>
      <c r="CW358" s="26"/>
      <c r="CX358" s="26"/>
      <c r="CY358" s="26"/>
      <c r="CZ358" s="26"/>
      <c r="DA358" s="26"/>
      <c r="DB358" s="26"/>
      <c r="DC358" s="26"/>
      <c r="DD358" s="26"/>
    </row>
    <row r="359" spans="59:108" x14ac:dyDescent="0.2">
      <c r="BG359" s="26"/>
      <c r="BH359" s="26"/>
      <c r="BI359" s="26"/>
      <c r="BJ359" s="26"/>
      <c r="BK359" s="26"/>
      <c r="BL359" s="26"/>
      <c r="BM359" s="26"/>
      <c r="BN359" s="26"/>
      <c r="BO359" s="26"/>
      <c r="BP359" s="26"/>
      <c r="BQ359" s="26"/>
      <c r="BR359" s="26"/>
      <c r="BS359" s="26"/>
      <c r="BT359" s="26"/>
      <c r="BU359" s="26"/>
      <c r="BV359" s="26"/>
      <c r="BW359" s="26"/>
      <c r="BX359" s="26"/>
      <c r="BY359" s="26"/>
      <c r="BZ359" s="26"/>
      <c r="CA359" s="26"/>
      <c r="CB359" s="26"/>
      <c r="CC359" s="26"/>
      <c r="CD359" s="26"/>
      <c r="CE359" s="26"/>
      <c r="CF359" s="26"/>
      <c r="CG359" s="26"/>
      <c r="CH359" s="26"/>
      <c r="CI359" s="26"/>
      <c r="CJ359" s="26"/>
      <c r="CK359" s="26"/>
      <c r="CL359" s="26"/>
      <c r="CM359" s="26"/>
      <c r="CN359" s="26"/>
      <c r="CO359" s="26"/>
      <c r="CP359" s="26"/>
      <c r="CQ359" s="26"/>
      <c r="CR359" s="26"/>
      <c r="CS359" s="26"/>
      <c r="CT359" s="26"/>
      <c r="CU359" s="26"/>
      <c r="CV359" s="26"/>
      <c r="CW359" s="26"/>
      <c r="CX359" s="26"/>
      <c r="CY359" s="26"/>
      <c r="CZ359" s="26"/>
      <c r="DA359" s="26"/>
      <c r="DB359" s="26"/>
      <c r="DC359" s="26"/>
      <c r="DD359" s="26"/>
    </row>
    <row r="360" spans="59:108" x14ac:dyDescent="0.2">
      <c r="BG360" s="26"/>
      <c r="BH360" s="26"/>
      <c r="BI360" s="26"/>
      <c r="BJ360" s="26"/>
      <c r="BK360" s="26"/>
      <c r="BL360" s="26"/>
      <c r="BM360" s="26"/>
      <c r="BN360" s="26"/>
      <c r="BO360" s="26"/>
      <c r="BP360" s="26"/>
      <c r="BQ360" s="26"/>
      <c r="BR360" s="26"/>
      <c r="BS360" s="26"/>
      <c r="BT360" s="26"/>
      <c r="BU360" s="26"/>
      <c r="BV360" s="26"/>
      <c r="BW360" s="26"/>
      <c r="BX360" s="26"/>
      <c r="BY360" s="26"/>
      <c r="BZ360" s="26"/>
      <c r="CA360" s="26"/>
      <c r="CB360" s="26"/>
      <c r="CC360" s="26"/>
      <c r="CD360" s="26"/>
      <c r="CE360" s="26"/>
      <c r="CF360" s="26"/>
      <c r="CG360" s="26"/>
      <c r="CH360" s="26"/>
      <c r="CI360" s="26"/>
      <c r="CJ360" s="26"/>
      <c r="CK360" s="26"/>
      <c r="CL360" s="26"/>
      <c r="CM360" s="26"/>
      <c r="CN360" s="26"/>
      <c r="CO360" s="26"/>
      <c r="CP360" s="26"/>
      <c r="CQ360" s="26"/>
      <c r="CR360" s="26"/>
      <c r="CS360" s="26"/>
      <c r="CT360" s="26"/>
      <c r="CU360" s="26"/>
      <c r="CV360" s="26"/>
      <c r="CW360" s="26"/>
      <c r="CX360" s="26"/>
      <c r="CY360" s="26"/>
      <c r="CZ360" s="26"/>
      <c r="DA360" s="26"/>
      <c r="DB360" s="26"/>
      <c r="DC360" s="26"/>
      <c r="DD360" s="26"/>
    </row>
    <row r="361" spans="59:108" x14ac:dyDescent="0.2">
      <c r="BG361" s="26"/>
      <c r="BH361" s="26"/>
      <c r="BI361" s="26"/>
      <c r="BJ361" s="26"/>
      <c r="BK361" s="26"/>
      <c r="BL361" s="26"/>
      <c r="BM361" s="26"/>
      <c r="BN361" s="26"/>
      <c r="BO361" s="26"/>
      <c r="BP361" s="26"/>
      <c r="BQ361" s="26"/>
      <c r="BR361" s="26"/>
      <c r="BS361" s="26"/>
      <c r="BT361" s="26"/>
      <c r="BU361" s="26"/>
      <c r="BV361" s="26"/>
      <c r="BW361" s="26"/>
      <c r="BX361" s="26"/>
      <c r="BY361" s="26"/>
      <c r="BZ361" s="26"/>
      <c r="CA361" s="26"/>
      <c r="CB361" s="26"/>
      <c r="CC361" s="26"/>
      <c r="CD361" s="26"/>
      <c r="CE361" s="26"/>
      <c r="CF361" s="26"/>
      <c r="CG361" s="26"/>
      <c r="CH361" s="26"/>
      <c r="CI361" s="26"/>
      <c r="CJ361" s="26"/>
      <c r="CK361" s="26"/>
      <c r="CL361" s="26"/>
      <c r="CM361" s="26"/>
      <c r="CN361" s="26"/>
      <c r="CO361" s="26"/>
      <c r="CP361" s="26"/>
      <c r="CQ361" s="26"/>
      <c r="CR361" s="26"/>
      <c r="CS361" s="26"/>
      <c r="CT361" s="26"/>
      <c r="CU361" s="26"/>
      <c r="CV361" s="26"/>
      <c r="CW361" s="26"/>
      <c r="CX361" s="26"/>
      <c r="CY361" s="26"/>
      <c r="CZ361" s="26"/>
      <c r="DA361" s="26"/>
      <c r="DB361" s="26"/>
      <c r="DC361" s="26"/>
      <c r="DD361" s="26"/>
    </row>
    <row r="362" spans="59:108" x14ac:dyDescent="0.2">
      <c r="BG362" s="26"/>
      <c r="BH362" s="26"/>
      <c r="BI362" s="26"/>
      <c r="BJ362" s="26"/>
      <c r="BK362" s="26"/>
      <c r="BL362" s="26"/>
      <c r="BM362" s="26"/>
      <c r="BN362" s="26"/>
      <c r="BO362" s="26"/>
      <c r="BP362" s="26"/>
      <c r="BQ362" s="26"/>
      <c r="BR362" s="26"/>
      <c r="BS362" s="26"/>
      <c r="BT362" s="26"/>
      <c r="BU362" s="26"/>
      <c r="BV362" s="26"/>
      <c r="BW362" s="26"/>
      <c r="BX362" s="26"/>
      <c r="BY362" s="26"/>
      <c r="BZ362" s="26"/>
      <c r="CA362" s="26"/>
      <c r="CB362" s="26"/>
      <c r="CC362" s="26"/>
      <c r="CD362" s="26"/>
      <c r="CE362" s="26"/>
      <c r="CF362" s="26"/>
      <c r="CG362" s="26"/>
      <c r="CH362" s="26"/>
      <c r="CI362" s="26"/>
      <c r="CJ362" s="26"/>
      <c r="CK362" s="26"/>
      <c r="CL362" s="26"/>
      <c r="CM362" s="26"/>
      <c r="CN362" s="26"/>
      <c r="CO362" s="26"/>
      <c r="CP362" s="26"/>
      <c r="CQ362" s="26"/>
      <c r="CR362" s="26"/>
      <c r="CS362" s="26"/>
      <c r="CT362" s="26"/>
      <c r="CU362" s="26"/>
      <c r="CV362" s="26"/>
      <c r="CW362" s="26"/>
      <c r="CX362" s="26"/>
      <c r="CY362" s="26"/>
      <c r="CZ362" s="26"/>
      <c r="DA362" s="26"/>
      <c r="DB362" s="26"/>
      <c r="DC362" s="26"/>
      <c r="DD362" s="26"/>
    </row>
    <row r="363" spans="59:108" x14ac:dyDescent="0.2">
      <c r="BG363" s="26"/>
      <c r="BH363" s="26"/>
      <c r="BI363" s="26"/>
      <c r="BJ363" s="26"/>
      <c r="BK363" s="26"/>
      <c r="BL363" s="26"/>
      <c r="BM363" s="26"/>
      <c r="BN363" s="26"/>
      <c r="BO363" s="26"/>
      <c r="BP363" s="26"/>
      <c r="BQ363" s="26"/>
      <c r="BR363" s="26"/>
      <c r="BS363" s="26"/>
      <c r="BT363" s="26"/>
      <c r="BU363" s="26"/>
      <c r="BV363" s="26"/>
      <c r="BW363" s="26"/>
      <c r="BX363" s="26"/>
      <c r="BY363" s="26"/>
      <c r="BZ363" s="26"/>
      <c r="CA363" s="26"/>
      <c r="CB363" s="26"/>
      <c r="CC363" s="26"/>
      <c r="CD363" s="26"/>
      <c r="CE363" s="26"/>
      <c r="CF363" s="26"/>
      <c r="CG363" s="26"/>
      <c r="CH363" s="26"/>
      <c r="CI363" s="26"/>
      <c r="CJ363" s="26"/>
      <c r="CK363" s="26"/>
      <c r="CL363" s="26"/>
      <c r="CM363" s="26"/>
      <c r="CN363" s="26"/>
      <c r="CO363" s="26"/>
      <c r="CP363" s="26"/>
      <c r="CQ363" s="26"/>
      <c r="CR363" s="26"/>
      <c r="CS363" s="26"/>
      <c r="CT363" s="26"/>
      <c r="CU363" s="26"/>
      <c r="CV363" s="26"/>
      <c r="CW363" s="26"/>
      <c r="CX363" s="26"/>
      <c r="CY363" s="26"/>
      <c r="CZ363" s="26"/>
      <c r="DA363" s="26"/>
      <c r="DB363" s="26"/>
      <c r="DC363" s="26"/>
      <c r="DD363" s="26"/>
    </row>
    <row r="364" spans="59:108" x14ac:dyDescent="0.2">
      <c r="BG364" s="26"/>
      <c r="BH364" s="26"/>
      <c r="BI364" s="26"/>
      <c r="BJ364" s="26"/>
      <c r="BK364" s="26"/>
      <c r="BL364" s="26"/>
      <c r="BM364" s="26"/>
      <c r="BN364" s="26"/>
      <c r="BO364" s="26"/>
      <c r="BP364" s="26"/>
      <c r="BQ364" s="26"/>
      <c r="BR364" s="26"/>
      <c r="BS364" s="26"/>
      <c r="BT364" s="26"/>
      <c r="BU364" s="26"/>
      <c r="BV364" s="26"/>
      <c r="BW364" s="26"/>
      <c r="BX364" s="26"/>
      <c r="BY364" s="26"/>
      <c r="BZ364" s="26"/>
      <c r="CA364" s="26"/>
      <c r="CB364" s="26"/>
      <c r="CC364" s="26"/>
      <c r="CD364" s="26"/>
      <c r="CE364" s="26"/>
      <c r="CF364" s="26"/>
      <c r="CG364" s="26"/>
      <c r="CH364" s="26"/>
      <c r="CI364" s="26"/>
      <c r="CJ364" s="26"/>
      <c r="CK364" s="26"/>
      <c r="CL364" s="26"/>
      <c r="CM364" s="26"/>
      <c r="CN364" s="26"/>
      <c r="CO364" s="26"/>
      <c r="CP364" s="26"/>
      <c r="CQ364" s="26"/>
      <c r="CR364" s="26"/>
      <c r="CS364" s="26"/>
      <c r="CT364" s="26"/>
      <c r="CU364" s="26"/>
      <c r="CV364" s="26"/>
      <c r="CW364" s="26"/>
      <c r="CX364" s="26"/>
      <c r="CY364" s="26"/>
      <c r="CZ364" s="26"/>
      <c r="DA364" s="26"/>
      <c r="DB364" s="26"/>
      <c r="DC364" s="26"/>
      <c r="DD364" s="26"/>
    </row>
    <row r="365" spans="59:108" x14ac:dyDescent="0.2">
      <c r="BG365" s="26"/>
      <c r="BH365" s="26"/>
      <c r="BI365" s="26"/>
      <c r="BJ365" s="26"/>
      <c r="BK365" s="26"/>
      <c r="BL365" s="26"/>
      <c r="BM365" s="26"/>
      <c r="BN365" s="26"/>
      <c r="BO365" s="26"/>
      <c r="BP365" s="26"/>
      <c r="BQ365" s="26"/>
      <c r="BR365" s="26"/>
      <c r="BS365" s="26"/>
      <c r="BT365" s="26"/>
      <c r="BU365" s="26"/>
      <c r="BV365" s="26"/>
      <c r="BW365" s="26"/>
      <c r="BX365" s="26"/>
      <c r="BY365" s="26"/>
      <c r="BZ365" s="26"/>
      <c r="CA365" s="26"/>
      <c r="CB365" s="26"/>
      <c r="CC365" s="26"/>
      <c r="CD365" s="26"/>
      <c r="CE365" s="26"/>
      <c r="CF365" s="26"/>
      <c r="CG365" s="26"/>
      <c r="CH365" s="26"/>
      <c r="CI365" s="26"/>
      <c r="CJ365" s="26"/>
      <c r="CK365" s="26"/>
      <c r="CL365" s="26"/>
      <c r="CM365" s="26"/>
      <c r="CN365" s="26"/>
      <c r="CO365" s="26"/>
      <c r="CP365" s="26"/>
      <c r="CQ365" s="26"/>
      <c r="CR365" s="26"/>
      <c r="CS365" s="26"/>
      <c r="CT365" s="26"/>
      <c r="CU365" s="26"/>
      <c r="CV365" s="26"/>
      <c r="CW365" s="26"/>
      <c r="CX365" s="26"/>
      <c r="CY365" s="26"/>
      <c r="CZ365" s="26"/>
      <c r="DA365" s="26"/>
      <c r="DB365" s="26"/>
      <c r="DC365" s="26"/>
      <c r="DD365" s="26"/>
    </row>
    <row r="366" spans="59:108" x14ac:dyDescent="0.2">
      <c r="BG366" s="26"/>
      <c r="BH366" s="26"/>
      <c r="BI366" s="26"/>
      <c r="BJ366" s="26"/>
      <c r="BK366" s="26"/>
      <c r="BL366" s="26"/>
      <c r="BM366" s="26"/>
      <c r="BN366" s="26"/>
      <c r="BO366" s="26"/>
      <c r="BP366" s="26"/>
      <c r="BQ366" s="26"/>
      <c r="BR366" s="26"/>
      <c r="BS366" s="26"/>
      <c r="BT366" s="26"/>
      <c r="BU366" s="26"/>
      <c r="BV366" s="26"/>
      <c r="BW366" s="26"/>
      <c r="BX366" s="26"/>
      <c r="BY366" s="26"/>
      <c r="BZ366" s="26"/>
      <c r="CA366" s="26"/>
      <c r="CB366" s="26"/>
      <c r="CC366" s="26"/>
      <c r="CD366" s="26"/>
      <c r="CE366" s="26"/>
      <c r="CF366" s="26"/>
      <c r="CG366" s="26"/>
      <c r="CH366" s="26"/>
      <c r="CI366" s="26"/>
      <c r="CJ366" s="26"/>
      <c r="CK366" s="26"/>
      <c r="CL366" s="26"/>
      <c r="CM366" s="26"/>
      <c r="CN366" s="26"/>
      <c r="CO366" s="26"/>
      <c r="CP366" s="26"/>
      <c r="CQ366" s="26"/>
      <c r="CR366" s="26"/>
      <c r="CS366" s="26"/>
      <c r="CT366" s="26"/>
      <c r="CU366" s="26"/>
      <c r="CV366" s="26"/>
      <c r="CW366" s="26"/>
      <c r="CX366" s="26"/>
      <c r="CY366" s="26"/>
      <c r="CZ366" s="26"/>
      <c r="DA366" s="26"/>
      <c r="DB366" s="26"/>
      <c r="DC366" s="26"/>
      <c r="DD366" s="26"/>
    </row>
    <row r="367" spans="59:108" x14ac:dyDescent="0.2">
      <c r="BG367" s="26"/>
      <c r="BH367" s="26"/>
      <c r="BI367" s="26"/>
      <c r="BJ367" s="26"/>
      <c r="BK367" s="26"/>
      <c r="BL367" s="26"/>
      <c r="BM367" s="26"/>
      <c r="BN367" s="26"/>
      <c r="BO367" s="26"/>
      <c r="BP367" s="26"/>
      <c r="BQ367" s="26"/>
      <c r="BR367" s="26"/>
      <c r="BS367" s="26"/>
      <c r="BT367" s="26"/>
      <c r="BU367" s="26"/>
      <c r="BV367" s="26"/>
      <c r="BW367" s="26"/>
      <c r="BX367" s="26"/>
      <c r="BY367" s="26"/>
      <c r="BZ367" s="26"/>
      <c r="CA367" s="26"/>
      <c r="CB367" s="26"/>
      <c r="CC367" s="26"/>
      <c r="CD367" s="26"/>
      <c r="CE367" s="26"/>
      <c r="CF367" s="26"/>
      <c r="CG367" s="26"/>
      <c r="CH367" s="26"/>
      <c r="CI367" s="26"/>
      <c r="CJ367" s="26"/>
      <c r="CK367" s="26"/>
      <c r="CL367" s="26"/>
      <c r="CM367" s="26"/>
      <c r="CN367" s="26"/>
      <c r="CO367" s="26"/>
      <c r="CP367" s="26"/>
      <c r="CQ367" s="26"/>
      <c r="CR367" s="26"/>
      <c r="CS367" s="26"/>
      <c r="CT367" s="26"/>
      <c r="CU367" s="26"/>
      <c r="CV367" s="26"/>
      <c r="CW367" s="26"/>
      <c r="CX367" s="26"/>
      <c r="CY367" s="26"/>
      <c r="CZ367" s="26"/>
      <c r="DA367" s="26"/>
      <c r="DB367" s="26"/>
      <c r="DC367" s="26"/>
      <c r="DD367" s="26"/>
    </row>
    <row r="368" spans="59:108" x14ac:dyDescent="0.2">
      <c r="BG368" s="26"/>
      <c r="BH368" s="26"/>
      <c r="BI368" s="26"/>
      <c r="BJ368" s="26"/>
      <c r="BK368" s="26"/>
      <c r="BL368" s="26"/>
      <c r="BM368" s="26"/>
      <c r="BN368" s="26"/>
      <c r="BO368" s="26"/>
      <c r="BP368" s="26"/>
      <c r="BQ368" s="26"/>
      <c r="BR368" s="26"/>
      <c r="BS368" s="26"/>
      <c r="BT368" s="26"/>
      <c r="BU368" s="26"/>
      <c r="BV368" s="26"/>
      <c r="BW368" s="26"/>
      <c r="BX368" s="26"/>
      <c r="BY368" s="26"/>
      <c r="BZ368" s="26"/>
      <c r="CA368" s="26"/>
      <c r="CB368" s="26"/>
      <c r="CC368" s="26"/>
      <c r="CD368" s="26"/>
      <c r="CE368" s="26"/>
      <c r="CF368" s="26"/>
      <c r="CG368" s="26"/>
      <c r="CH368" s="26"/>
      <c r="CI368" s="26"/>
      <c r="CJ368" s="26"/>
      <c r="CK368" s="26"/>
      <c r="CL368" s="26"/>
      <c r="CM368" s="26"/>
      <c r="CN368" s="26"/>
      <c r="CO368" s="26"/>
      <c r="CP368" s="26"/>
      <c r="CQ368" s="26"/>
      <c r="CR368" s="26"/>
      <c r="CS368" s="26"/>
      <c r="CT368" s="26"/>
      <c r="CU368" s="26"/>
      <c r="CV368" s="26"/>
      <c r="CW368" s="26"/>
      <c r="CX368" s="26"/>
      <c r="CY368" s="26"/>
      <c r="CZ368" s="26"/>
      <c r="DA368" s="26"/>
      <c r="DB368" s="26"/>
      <c r="DC368" s="26"/>
      <c r="DD368" s="26"/>
    </row>
    <row r="369" spans="59:108" x14ac:dyDescent="0.2">
      <c r="BG369" s="26"/>
      <c r="BH369" s="26"/>
      <c r="BI369" s="26"/>
      <c r="BJ369" s="26"/>
      <c r="BK369" s="26"/>
      <c r="BL369" s="26"/>
      <c r="BM369" s="26"/>
      <c r="BN369" s="26"/>
      <c r="BO369" s="26"/>
      <c r="BP369" s="26"/>
      <c r="BQ369" s="26"/>
      <c r="BR369" s="26"/>
      <c r="BS369" s="26"/>
      <c r="BT369" s="26"/>
      <c r="BU369" s="26"/>
      <c r="BV369" s="26"/>
      <c r="BW369" s="26"/>
      <c r="BX369" s="26"/>
      <c r="BY369" s="26"/>
      <c r="BZ369" s="26"/>
      <c r="CA369" s="26"/>
      <c r="CB369" s="26"/>
      <c r="CC369" s="26"/>
      <c r="CD369" s="26"/>
      <c r="CE369" s="26"/>
      <c r="CF369" s="26"/>
      <c r="CG369" s="26"/>
      <c r="CH369" s="26"/>
      <c r="CI369" s="26"/>
      <c r="CJ369" s="26"/>
      <c r="CK369" s="26"/>
      <c r="CL369" s="26"/>
      <c r="CM369" s="26"/>
      <c r="CN369" s="26"/>
      <c r="CO369" s="26"/>
      <c r="CP369" s="26"/>
      <c r="CQ369" s="26"/>
      <c r="CR369" s="26"/>
      <c r="CS369" s="26"/>
      <c r="CT369" s="26"/>
      <c r="CU369" s="26"/>
      <c r="CV369" s="26"/>
      <c r="CW369" s="26"/>
      <c r="CX369" s="26"/>
      <c r="CY369" s="26"/>
      <c r="CZ369" s="26"/>
      <c r="DA369" s="26"/>
      <c r="DB369" s="26"/>
      <c r="DC369" s="26"/>
      <c r="DD369" s="26"/>
    </row>
    <row r="370" spans="59:108" x14ac:dyDescent="0.2">
      <c r="BG370" s="26"/>
      <c r="BH370" s="26"/>
      <c r="BI370" s="26"/>
      <c r="BJ370" s="26"/>
      <c r="BK370" s="26"/>
      <c r="BL370" s="26"/>
      <c r="BM370" s="26"/>
      <c r="BN370" s="26"/>
      <c r="BO370" s="26"/>
      <c r="BP370" s="26"/>
      <c r="BQ370" s="26"/>
      <c r="BR370" s="26"/>
      <c r="BS370" s="26"/>
      <c r="BT370" s="26"/>
      <c r="BU370" s="26"/>
      <c r="BV370" s="26"/>
      <c r="BW370" s="26"/>
      <c r="BX370" s="26"/>
      <c r="BY370" s="26"/>
      <c r="BZ370" s="26"/>
      <c r="CA370" s="26"/>
      <c r="CB370" s="26"/>
      <c r="CC370" s="26"/>
      <c r="CD370" s="26"/>
      <c r="CE370" s="26"/>
      <c r="CF370" s="26"/>
      <c r="CG370" s="26"/>
      <c r="CH370" s="26"/>
      <c r="CI370" s="26"/>
      <c r="CJ370" s="26"/>
      <c r="CK370" s="26"/>
      <c r="CL370" s="26"/>
      <c r="CM370" s="26"/>
      <c r="CN370" s="26"/>
      <c r="CO370" s="26"/>
      <c r="CP370" s="26"/>
      <c r="CQ370" s="26"/>
      <c r="CR370" s="26"/>
      <c r="CS370" s="26"/>
      <c r="CT370" s="26"/>
      <c r="CU370" s="26"/>
      <c r="CV370" s="26"/>
      <c r="CW370" s="26"/>
      <c r="CX370" s="26"/>
      <c r="CY370" s="26"/>
      <c r="CZ370" s="26"/>
      <c r="DA370" s="26"/>
      <c r="DB370" s="26"/>
      <c r="DC370" s="26"/>
      <c r="DD370" s="26"/>
    </row>
    <row r="371" spans="59:108" x14ac:dyDescent="0.2">
      <c r="BG371" s="26"/>
      <c r="BH371" s="26"/>
      <c r="BI371" s="26"/>
      <c r="BJ371" s="26"/>
      <c r="BK371" s="26"/>
      <c r="BL371" s="26"/>
      <c r="BM371" s="26"/>
      <c r="BN371" s="26"/>
      <c r="BO371" s="26"/>
      <c r="BP371" s="26"/>
      <c r="BQ371" s="26"/>
      <c r="BR371" s="26"/>
      <c r="BS371" s="26"/>
      <c r="BT371" s="26"/>
      <c r="BU371" s="26"/>
      <c r="BV371" s="26"/>
      <c r="BW371" s="26"/>
      <c r="BX371" s="26"/>
      <c r="BY371" s="26"/>
      <c r="BZ371" s="26"/>
      <c r="CA371" s="26"/>
      <c r="CB371" s="26"/>
      <c r="CC371" s="26"/>
      <c r="CD371" s="26"/>
      <c r="CE371" s="26"/>
      <c r="CF371" s="26"/>
      <c r="CG371" s="26"/>
      <c r="CH371" s="26"/>
      <c r="CI371" s="26"/>
      <c r="CJ371" s="26"/>
      <c r="CK371" s="26"/>
      <c r="CL371" s="26"/>
      <c r="CM371" s="26"/>
      <c r="CN371" s="26"/>
      <c r="CO371" s="26"/>
      <c r="CP371" s="26"/>
      <c r="CQ371" s="26"/>
      <c r="CR371" s="26"/>
      <c r="CS371" s="26"/>
      <c r="CT371" s="26"/>
      <c r="CU371" s="26"/>
      <c r="CV371" s="26"/>
      <c r="CW371" s="26"/>
      <c r="CX371" s="26"/>
      <c r="CY371" s="26"/>
      <c r="CZ371" s="26"/>
      <c r="DA371" s="26"/>
      <c r="DB371" s="26"/>
      <c r="DC371" s="26"/>
      <c r="DD371" s="26"/>
    </row>
    <row r="372" spans="59:108" x14ac:dyDescent="0.2">
      <c r="BG372" s="26"/>
      <c r="BH372" s="26"/>
      <c r="BI372" s="26"/>
      <c r="BJ372" s="26"/>
      <c r="BK372" s="26"/>
      <c r="BL372" s="26"/>
      <c r="BM372" s="26"/>
      <c r="BN372" s="26"/>
      <c r="BO372" s="26"/>
      <c r="BP372" s="26"/>
      <c r="BQ372" s="26"/>
      <c r="BR372" s="26"/>
      <c r="BS372" s="26"/>
      <c r="BT372" s="26"/>
      <c r="BU372" s="26"/>
      <c r="BV372" s="26"/>
      <c r="BW372" s="26"/>
      <c r="BX372" s="26"/>
      <c r="BY372" s="26"/>
      <c r="BZ372" s="26"/>
      <c r="CA372" s="26"/>
      <c r="CB372" s="26"/>
      <c r="CC372" s="26"/>
      <c r="CD372" s="26"/>
      <c r="CE372" s="26"/>
      <c r="CF372" s="26"/>
      <c r="CG372" s="26"/>
      <c r="CH372" s="26"/>
      <c r="CI372" s="26"/>
      <c r="CJ372" s="26"/>
      <c r="CK372" s="26"/>
      <c r="CL372" s="26"/>
      <c r="CM372" s="26"/>
      <c r="CN372" s="26"/>
      <c r="CO372" s="26"/>
      <c r="CP372" s="26"/>
      <c r="CQ372" s="26"/>
      <c r="CR372" s="26"/>
      <c r="CS372" s="26"/>
      <c r="CT372" s="26"/>
      <c r="CU372" s="26"/>
      <c r="CV372" s="26"/>
      <c r="CW372" s="26"/>
      <c r="CX372" s="26"/>
      <c r="CY372" s="26"/>
      <c r="CZ372" s="26"/>
      <c r="DA372" s="26"/>
      <c r="DB372" s="26"/>
      <c r="DC372" s="26"/>
      <c r="DD372" s="26"/>
    </row>
    <row r="373" spans="59:108" x14ac:dyDescent="0.2">
      <c r="BG373" s="26"/>
      <c r="BH373" s="26"/>
      <c r="BI373" s="26"/>
      <c r="BJ373" s="26"/>
      <c r="BK373" s="26"/>
      <c r="BL373" s="26"/>
      <c r="BM373" s="26"/>
      <c r="BN373" s="26"/>
      <c r="BO373" s="26"/>
      <c r="BP373" s="26"/>
      <c r="BQ373" s="26"/>
      <c r="BR373" s="26"/>
      <c r="BS373" s="26"/>
      <c r="BT373" s="26"/>
      <c r="BU373" s="26"/>
      <c r="BV373" s="26"/>
      <c r="BW373" s="26"/>
      <c r="BX373" s="26"/>
      <c r="BY373" s="26"/>
      <c r="BZ373" s="26"/>
      <c r="CA373" s="26"/>
      <c r="CB373" s="26"/>
      <c r="CC373" s="26"/>
      <c r="CD373" s="26"/>
      <c r="CE373" s="26"/>
      <c r="CF373" s="26"/>
      <c r="CG373" s="26"/>
      <c r="CH373" s="26"/>
      <c r="CI373" s="26"/>
      <c r="CJ373" s="26"/>
      <c r="CK373" s="26"/>
      <c r="CL373" s="26"/>
      <c r="CM373" s="26"/>
      <c r="CN373" s="26"/>
      <c r="CO373" s="26"/>
      <c r="CP373" s="26"/>
      <c r="CQ373" s="26"/>
      <c r="CR373" s="26"/>
      <c r="CS373" s="26"/>
      <c r="CT373" s="26"/>
      <c r="CU373" s="26"/>
      <c r="CV373" s="26"/>
      <c r="CW373" s="26"/>
      <c r="CX373" s="26"/>
      <c r="CY373" s="26"/>
      <c r="CZ373" s="26"/>
      <c r="DA373" s="26"/>
      <c r="DB373" s="26"/>
      <c r="DC373" s="26"/>
      <c r="DD373" s="26"/>
    </row>
    <row r="374" spans="59:108" x14ac:dyDescent="0.2">
      <c r="BG374" s="26"/>
      <c r="BH374" s="26"/>
      <c r="BI374" s="26"/>
      <c r="BJ374" s="26"/>
      <c r="BK374" s="26"/>
      <c r="BL374" s="26"/>
      <c r="BM374" s="26"/>
      <c r="BN374" s="26"/>
      <c r="BO374" s="26"/>
      <c r="BP374" s="26"/>
      <c r="BQ374" s="26"/>
      <c r="BR374" s="26"/>
      <c r="BS374" s="26"/>
      <c r="BT374" s="26"/>
      <c r="BU374" s="26"/>
      <c r="BV374" s="26"/>
      <c r="BW374" s="26"/>
      <c r="BX374" s="26"/>
      <c r="BY374" s="26"/>
      <c r="BZ374" s="26"/>
      <c r="CA374" s="26"/>
      <c r="CB374" s="26"/>
      <c r="CC374" s="26"/>
      <c r="CD374" s="26"/>
      <c r="CE374" s="26"/>
      <c r="CF374" s="26"/>
      <c r="CG374" s="26"/>
      <c r="CH374" s="26"/>
      <c r="CI374" s="26"/>
      <c r="CJ374" s="26"/>
      <c r="CK374" s="26"/>
      <c r="CL374" s="26"/>
      <c r="CM374" s="26"/>
      <c r="CN374" s="26"/>
      <c r="CO374" s="26"/>
      <c r="CP374" s="26"/>
      <c r="CQ374" s="26"/>
      <c r="CR374" s="26"/>
      <c r="CS374" s="26"/>
      <c r="CT374" s="26"/>
      <c r="CU374" s="26"/>
      <c r="CV374" s="26"/>
      <c r="CW374" s="26"/>
      <c r="CX374" s="26"/>
      <c r="CY374" s="26"/>
      <c r="CZ374" s="26"/>
      <c r="DA374" s="26"/>
      <c r="DB374" s="26"/>
      <c r="DC374" s="26"/>
      <c r="DD374" s="26"/>
    </row>
    <row r="375" spans="59:108" x14ac:dyDescent="0.2">
      <c r="BG375" s="26"/>
      <c r="BH375" s="26"/>
      <c r="BI375" s="26"/>
      <c r="BJ375" s="26"/>
      <c r="BK375" s="26"/>
      <c r="BL375" s="26"/>
      <c r="BM375" s="26"/>
      <c r="BN375" s="26"/>
      <c r="BO375" s="26"/>
      <c r="BP375" s="26"/>
      <c r="BQ375" s="26"/>
      <c r="BR375" s="26"/>
      <c r="BS375" s="26"/>
      <c r="BT375" s="26"/>
      <c r="BU375" s="26"/>
      <c r="BV375" s="26"/>
      <c r="BW375" s="26"/>
      <c r="BX375" s="26"/>
      <c r="BY375" s="26"/>
      <c r="BZ375" s="26"/>
      <c r="CA375" s="26"/>
      <c r="CB375" s="26"/>
      <c r="CC375" s="26"/>
      <c r="CD375" s="26"/>
      <c r="CE375" s="26"/>
      <c r="CF375" s="26"/>
      <c r="CG375" s="26"/>
      <c r="CH375" s="26"/>
      <c r="CI375" s="26"/>
      <c r="CJ375" s="26"/>
      <c r="CK375" s="26"/>
      <c r="CL375" s="26"/>
      <c r="CM375" s="26"/>
      <c r="CN375" s="26"/>
      <c r="CO375" s="26"/>
      <c r="CP375" s="26"/>
      <c r="CQ375" s="26"/>
      <c r="CR375" s="26"/>
      <c r="CS375" s="26"/>
      <c r="CT375" s="26"/>
      <c r="CU375" s="26"/>
      <c r="CV375" s="26"/>
      <c r="CW375" s="26"/>
      <c r="CX375" s="26"/>
      <c r="CY375" s="26"/>
      <c r="CZ375" s="26"/>
      <c r="DA375" s="26"/>
      <c r="DB375" s="26"/>
      <c r="DC375" s="26"/>
      <c r="DD375" s="26"/>
    </row>
    <row r="376" spans="59:108" x14ac:dyDescent="0.2">
      <c r="BG376" s="26"/>
      <c r="BH376" s="26"/>
      <c r="BI376" s="26"/>
      <c r="BJ376" s="26"/>
      <c r="BK376" s="26"/>
      <c r="BL376" s="26"/>
      <c r="BM376" s="26"/>
      <c r="BN376" s="26"/>
      <c r="BO376" s="26"/>
      <c r="BP376" s="26"/>
      <c r="BQ376" s="26"/>
      <c r="BR376" s="26"/>
      <c r="BS376" s="26"/>
      <c r="BT376" s="26"/>
      <c r="BU376" s="26"/>
      <c r="BV376" s="26"/>
      <c r="BW376" s="26"/>
      <c r="BX376" s="26"/>
      <c r="BY376" s="26"/>
      <c r="BZ376" s="26"/>
      <c r="CA376" s="26"/>
      <c r="CB376" s="26"/>
      <c r="CC376" s="26"/>
      <c r="CD376" s="26"/>
      <c r="CE376" s="26"/>
      <c r="CF376" s="26"/>
      <c r="CG376" s="26"/>
      <c r="CH376" s="26"/>
      <c r="CI376" s="26"/>
      <c r="CJ376" s="26"/>
      <c r="CK376" s="26"/>
      <c r="CL376" s="26"/>
      <c r="CM376" s="26"/>
      <c r="CN376" s="26"/>
      <c r="CO376" s="26"/>
      <c r="CP376" s="26"/>
      <c r="CQ376" s="26"/>
      <c r="CR376" s="26"/>
      <c r="CS376" s="26"/>
      <c r="CT376" s="26"/>
      <c r="CU376" s="26"/>
      <c r="CV376" s="26"/>
      <c r="CW376" s="26"/>
      <c r="CX376" s="26"/>
      <c r="CY376" s="26"/>
      <c r="CZ376" s="26"/>
      <c r="DA376" s="26"/>
      <c r="DB376" s="26"/>
      <c r="DC376" s="26"/>
      <c r="DD376" s="26"/>
    </row>
    <row r="377" spans="59:108" x14ac:dyDescent="0.2">
      <c r="BG377" s="26"/>
      <c r="BH377" s="26"/>
      <c r="BI377" s="26"/>
      <c r="BJ377" s="26"/>
      <c r="BK377" s="26"/>
      <c r="BL377" s="26"/>
      <c r="BM377" s="26"/>
      <c r="BN377" s="26"/>
      <c r="BO377" s="26"/>
      <c r="BP377" s="26"/>
      <c r="BQ377" s="26"/>
      <c r="BR377" s="26"/>
      <c r="BS377" s="26"/>
      <c r="BT377" s="26"/>
      <c r="BU377" s="26"/>
      <c r="BV377" s="26"/>
      <c r="BW377" s="26"/>
      <c r="BX377" s="26"/>
      <c r="BY377" s="26"/>
      <c r="BZ377" s="26"/>
      <c r="CA377" s="26"/>
      <c r="CB377" s="26"/>
      <c r="CC377" s="26"/>
      <c r="CD377" s="26"/>
      <c r="CE377" s="26"/>
      <c r="CF377" s="26"/>
      <c r="CG377" s="26"/>
      <c r="CH377" s="26"/>
      <c r="CI377" s="26"/>
      <c r="CJ377" s="26"/>
      <c r="CK377" s="26"/>
      <c r="CL377" s="26"/>
      <c r="CM377" s="26"/>
      <c r="CN377" s="26"/>
      <c r="CO377" s="26"/>
      <c r="CP377" s="26"/>
      <c r="CQ377" s="26"/>
      <c r="CR377" s="26"/>
      <c r="CS377" s="26"/>
      <c r="CT377" s="26"/>
      <c r="CU377" s="26"/>
      <c r="CV377" s="26"/>
      <c r="CW377" s="26"/>
      <c r="CX377" s="26"/>
      <c r="CY377" s="26"/>
      <c r="CZ377" s="26"/>
      <c r="DA377" s="26"/>
      <c r="DB377" s="26"/>
      <c r="DC377" s="26"/>
      <c r="DD377" s="26"/>
    </row>
    <row r="378" spans="59:108" x14ac:dyDescent="0.2">
      <c r="BG378" s="26"/>
      <c r="BH378" s="26"/>
      <c r="BI378" s="26"/>
      <c r="BJ378" s="26"/>
      <c r="BK378" s="26"/>
      <c r="BL378" s="26"/>
      <c r="BM378" s="26"/>
      <c r="BN378" s="26"/>
      <c r="BO378" s="26"/>
      <c r="BP378" s="26"/>
      <c r="BQ378" s="26"/>
      <c r="BR378" s="26"/>
      <c r="BS378" s="26"/>
      <c r="BT378" s="26"/>
      <c r="BU378" s="26"/>
      <c r="BV378" s="26"/>
      <c r="BW378" s="26"/>
      <c r="BX378" s="26"/>
      <c r="BY378" s="26"/>
      <c r="BZ378" s="26"/>
      <c r="CA378" s="26"/>
      <c r="CB378" s="26"/>
      <c r="CC378" s="26"/>
      <c r="CD378" s="26"/>
      <c r="CE378" s="26"/>
      <c r="CF378" s="26"/>
      <c r="CG378" s="26"/>
      <c r="CH378" s="26"/>
      <c r="CI378" s="26"/>
      <c r="CJ378" s="26"/>
      <c r="CK378" s="26"/>
      <c r="CL378" s="26"/>
      <c r="CM378" s="26"/>
      <c r="CN378" s="26"/>
      <c r="CO378" s="26"/>
      <c r="CP378" s="26"/>
      <c r="CQ378" s="26"/>
      <c r="CR378" s="26"/>
      <c r="CS378" s="26"/>
      <c r="CT378" s="26"/>
      <c r="CU378" s="26"/>
      <c r="CV378" s="26"/>
      <c r="CW378" s="26"/>
      <c r="CX378" s="26"/>
      <c r="CY378" s="26"/>
      <c r="CZ378" s="26"/>
      <c r="DA378" s="26"/>
      <c r="DB378" s="26"/>
      <c r="DC378" s="26"/>
      <c r="DD378" s="26"/>
    </row>
    <row r="379" spans="59:108" x14ac:dyDescent="0.2">
      <c r="BG379" s="26"/>
      <c r="BH379" s="26"/>
      <c r="BI379" s="26"/>
      <c r="BJ379" s="26"/>
      <c r="BK379" s="26"/>
      <c r="BL379" s="26"/>
      <c r="BM379" s="26"/>
      <c r="BN379" s="26"/>
      <c r="BO379" s="26"/>
      <c r="BP379" s="26"/>
      <c r="BQ379" s="26"/>
      <c r="BR379" s="26"/>
      <c r="BS379" s="26"/>
      <c r="BT379" s="26"/>
      <c r="BU379" s="26"/>
      <c r="BV379" s="26"/>
      <c r="BW379" s="26"/>
      <c r="BX379" s="26"/>
      <c r="BY379" s="26"/>
      <c r="BZ379" s="26"/>
      <c r="CA379" s="26"/>
      <c r="CB379" s="26"/>
      <c r="CC379" s="26"/>
      <c r="CD379" s="26"/>
      <c r="CE379" s="26"/>
      <c r="CF379" s="26"/>
      <c r="CG379" s="26"/>
      <c r="CH379" s="26"/>
      <c r="CI379" s="26"/>
      <c r="CJ379" s="26"/>
      <c r="CK379" s="26"/>
      <c r="CL379" s="26"/>
      <c r="CM379" s="26"/>
      <c r="CN379" s="26"/>
      <c r="CO379" s="26"/>
      <c r="CP379" s="26"/>
      <c r="CQ379" s="26"/>
      <c r="CR379" s="26"/>
      <c r="CS379" s="26"/>
      <c r="CT379" s="26"/>
      <c r="CU379" s="26"/>
      <c r="CV379" s="26"/>
      <c r="CW379" s="26"/>
      <c r="CX379" s="26"/>
      <c r="CY379" s="26"/>
      <c r="CZ379" s="26"/>
      <c r="DA379" s="26"/>
      <c r="DB379" s="26"/>
      <c r="DC379" s="26"/>
      <c r="DD379" s="26"/>
    </row>
    <row r="380" spans="59:108" x14ac:dyDescent="0.2">
      <c r="BG380" s="26"/>
      <c r="BH380" s="26"/>
      <c r="BI380" s="26"/>
      <c r="BJ380" s="26"/>
      <c r="BK380" s="26"/>
      <c r="BL380" s="26"/>
      <c r="BM380" s="26"/>
      <c r="BN380" s="26"/>
      <c r="BO380" s="26"/>
      <c r="BP380" s="26"/>
      <c r="BQ380" s="26"/>
      <c r="BR380" s="26"/>
      <c r="BS380" s="26"/>
      <c r="BT380" s="26"/>
      <c r="BU380" s="26"/>
      <c r="BV380" s="26"/>
      <c r="BW380" s="26"/>
      <c r="BX380" s="26"/>
      <c r="BY380" s="26"/>
      <c r="BZ380" s="26"/>
      <c r="CA380" s="26"/>
      <c r="CB380" s="26"/>
      <c r="CC380" s="26"/>
      <c r="CD380" s="26"/>
      <c r="CE380" s="26"/>
      <c r="CF380" s="26"/>
      <c r="CG380" s="26"/>
      <c r="CH380" s="26"/>
      <c r="CI380" s="26"/>
      <c r="CJ380" s="26"/>
      <c r="CK380" s="26"/>
      <c r="CL380" s="26"/>
      <c r="CM380" s="26"/>
      <c r="CN380" s="26"/>
      <c r="CO380" s="26"/>
      <c r="CP380" s="26"/>
      <c r="CQ380" s="26"/>
      <c r="CR380" s="26"/>
      <c r="CS380" s="26"/>
      <c r="CT380" s="26"/>
      <c r="CU380" s="26"/>
      <c r="CV380" s="26"/>
      <c r="CW380" s="26"/>
      <c r="CX380" s="26"/>
      <c r="CY380" s="26"/>
      <c r="CZ380" s="26"/>
      <c r="DA380" s="26"/>
      <c r="DB380" s="26"/>
      <c r="DC380" s="26"/>
      <c r="DD380" s="26"/>
    </row>
    <row r="381" spans="59:108" x14ac:dyDescent="0.2">
      <c r="BG381" s="26"/>
      <c r="BH381" s="26"/>
      <c r="BI381" s="26"/>
      <c r="BJ381" s="26"/>
      <c r="BK381" s="26"/>
      <c r="BL381" s="26"/>
      <c r="BM381" s="26"/>
      <c r="BN381" s="26"/>
      <c r="BO381" s="26"/>
      <c r="BP381" s="26"/>
      <c r="BQ381" s="26"/>
      <c r="BR381" s="26"/>
      <c r="BS381" s="26"/>
      <c r="BT381" s="26"/>
      <c r="BU381" s="26"/>
      <c r="BV381" s="26"/>
      <c r="BW381" s="26"/>
      <c r="BX381" s="26"/>
      <c r="BY381" s="26"/>
      <c r="BZ381" s="26"/>
      <c r="CA381" s="26"/>
      <c r="CB381" s="26"/>
      <c r="CC381" s="26"/>
      <c r="CD381" s="26"/>
      <c r="CE381" s="26"/>
      <c r="CF381" s="26"/>
      <c r="CG381" s="26"/>
      <c r="CH381" s="26"/>
      <c r="CI381" s="26"/>
      <c r="CJ381" s="26"/>
      <c r="CK381" s="26"/>
      <c r="CL381" s="26"/>
      <c r="CM381" s="26"/>
      <c r="CN381" s="26"/>
      <c r="CO381" s="26"/>
      <c r="CP381" s="26"/>
      <c r="CQ381" s="26"/>
      <c r="CR381" s="26"/>
      <c r="CS381" s="26"/>
      <c r="CT381" s="26"/>
      <c r="CU381" s="26"/>
      <c r="CV381" s="26"/>
      <c r="CW381" s="26"/>
      <c r="CX381" s="26"/>
      <c r="CY381" s="26"/>
      <c r="CZ381" s="26"/>
      <c r="DA381" s="26"/>
      <c r="DB381" s="26"/>
      <c r="DC381" s="26"/>
      <c r="DD381" s="26"/>
    </row>
    <row r="382" spans="59:108" x14ac:dyDescent="0.2">
      <c r="BG382" s="26"/>
      <c r="BH382" s="26"/>
      <c r="BI382" s="26"/>
      <c r="BJ382" s="26"/>
      <c r="BK382" s="26"/>
      <c r="BL382" s="26"/>
      <c r="BM382" s="26"/>
      <c r="BN382" s="26"/>
      <c r="BO382" s="26"/>
      <c r="BP382" s="26"/>
      <c r="BQ382" s="26"/>
      <c r="BR382" s="26"/>
      <c r="BS382" s="26"/>
      <c r="BT382" s="26"/>
      <c r="BU382" s="26"/>
      <c r="BV382" s="26"/>
      <c r="BW382" s="26"/>
      <c r="BX382" s="26"/>
      <c r="BY382" s="26"/>
      <c r="BZ382" s="26"/>
      <c r="CA382" s="26"/>
      <c r="CB382" s="26"/>
      <c r="CC382" s="26"/>
      <c r="CD382" s="26"/>
      <c r="CE382" s="26"/>
      <c r="CF382" s="26"/>
      <c r="CG382" s="26"/>
      <c r="CH382" s="26"/>
      <c r="CI382" s="26"/>
      <c r="CJ382" s="26"/>
      <c r="CK382" s="26"/>
      <c r="CL382" s="26"/>
      <c r="CM382" s="26"/>
      <c r="CN382" s="26"/>
      <c r="CO382" s="26"/>
      <c r="CP382" s="26"/>
      <c r="CQ382" s="26"/>
      <c r="CR382" s="26"/>
      <c r="CS382" s="26"/>
      <c r="CT382" s="26"/>
      <c r="CU382" s="26"/>
      <c r="CV382" s="26"/>
      <c r="CW382" s="26"/>
      <c r="CX382" s="26"/>
      <c r="CY382" s="26"/>
      <c r="CZ382" s="26"/>
      <c r="DA382" s="26"/>
      <c r="DB382" s="26"/>
      <c r="DC382" s="26"/>
      <c r="DD382" s="26"/>
    </row>
    <row r="383" spans="59:108" x14ac:dyDescent="0.2">
      <c r="BG383" s="26"/>
      <c r="BH383" s="26"/>
      <c r="BI383" s="26"/>
      <c r="BJ383" s="26"/>
      <c r="BK383" s="26"/>
      <c r="BL383" s="26"/>
      <c r="BM383" s="26"/>
      <c r="BN383" s="26"/>
      <c r="BO383" s="26"/>
      <c r="BP383" s="26"/>
      <c r="BQ383" s="26"/>
      <c r="BR383" s="26"/>
      <c r="BS383" s="26"/>
      <c r="BT383" s="26"/>
      <c r="BU383" s="26"/>
      <c r="BV383" s="26"/>
      <c r="BW383" s="26"/>
      <c r="BX383" s="26"/>
      <c r="BY383" s="26"/>
      <c r="BZ383" s="26"/>
      <c r="CA383" s="26"/>
      <c r="CB383" s="26"/>
      <c r="CC383" s="26"/>
      <c r="CD383" s="26"/>
      <c r="CE383" s="26"/>
      <c r="CF383" s="26"/>
      <c r="CG383" s="26"/>
      <c r="CH383" s="26"/>
      <c r="CI383" s="26"/>
      <c r="CJ383" s="26"/>
      <c r="CK383" s="26"/>
      <c r="CL383" s="26"/>
      <c r="CM383" s="26"/>
      <c r="CN383" s="26"/>
      <c r="CO383" s="26"/>
      <c r="CP383" s="26"/>
      <c r="CQ383" s="26"/>
      <c r="CR383" s="26"/>
      <c r="CS383" s="26"/>
      <c r="CT383" s="26"/>
      <c r="CU383" s="26"/>
      <c r="CV383" s="26"/>
      <c r="CW383" s="26"/>
      <c r="CX383" s="26"/>
      <c r="CY383" s="26"/>
      <c r="CZ383" s="26"/>
      <c r="DA383" s="26"/>
      <c r="DB383" s="26"/>
      <c r="DC383" s="26"/>
      <c r="DD383" s="26"/>
    </row>
    <row r="384" spans="59:108" x14ac:dyDescent="0.2">
      <c r="BG384" s="26"/>
      <c r="BH384" s="26"/>
      <c r="BI384" s="26"/>
      <c r="BJ384" s="26"/>
      <c r="BK384" s="26"/>
      <c r="BL384" s="26"/>
      <c r="BM384" s="26"/>
      <c r="BN384" s="26"/>
      <c r="BO384" s="26"/>
      <c r="BP384" s="26"/>
      <c r="BQ384" s="26"/>
      <c r="BR384" s="26"/>
      <c r="BS384" s="26"/>
      <c r="BT384" s="26"/>
      <c r="BU384" s="26"/>
      <c r="BV384" s="26"/>
      <c r="BW384" s="26"/>
      <c r="BX384" s="26"/>
      <c r="BY384" s="26"/>
      <c r="BZ384" s="26"/>
      <c r="CA384" s="26"/>
      <c r="CB384" s="26"/>
      <c r="CC384" s="26"/>
      <c r="CD384" s="26"/>
      <c r="CE384" s="26"/>
      <c r="CF384" s="26"/>
      <c r="CG384" s="26"/>
      <c r="CH384" s="26"/>
      <c r="CI384" s="26"/>
      <c r="CJ384" s="26"/>
      <c r="CK384" s="26"/>
      <c r="CL384" s="26"/>
      <c r="CM384" s="26"/>
      <c r="CN384" s="26"/>
      <c r="CO384" s="26"/>
      <c r="CP384" s="26"/>
      <c r="CQ384" s="26"/>
      <c r="CR384" s="26"/>
      <c r="CS384" s="26"/>
      <c r="CT384" s="26"/>
      <c r="CU384" s="26"/>
      <c r="CV384" s="26"/>
      <c r="CW384" s="26"/>
      <c r="CX384" s="26"/>
      <c r="CY384" s="26"/>
      <c r="CZ384" s="26"/>
      <c r="DA384" s="26"/>
      <c r="DB384" s="26"/>
      <c r="DC384" s="26"/>
      <c r="DD384" s="26"/>
    </row>
    <row r="385" spans="59:108" x14ac:dyDescent="0.2">
      <c r="BG385" s="26"/>
      <c r="BH385" s="26"/>
      <c r="BI385" s="26"/>
      <c r="BJ385" s="26"/>
      <c r="BK385" s="26"/>
      <c r="BL385" s="26"/>
      <c r="BM385" s="26"/>
      <c r="BN385" s="26"/>
      <c r="BO385" s="26"/>
      <c r="BP385" s="26"/>
      <c r="BQ385" s="26"/>
      <c r="BR385" s="26"/>
      <c r="BS385" s="26"/>
      <c r="BT385" s="26"/>
      <c r="BU385" s="26"/>
      <c r="BV385" s="26"/>
      <c r="BW385" s="26"/>
      <c r="BX385" s="26"/>
      <c r="BY385" s="26"/>
      <c r="BZ385" s="26"/>
      <c r="CA385" s="26"/>
      <c r="CB385" s="26"/>
      <c r="CC385" s="26"/>
      <c r="CD385" s="26"/>
      <c r="CE385" s="26"/>
      <c r="CF385" s="26"/>
      <c r="CG385" s="26"/>
      <c r="CH385" s="26"/>
      <c r="CI385" s="26"/>
      <c r="CJ385" s="26"/>
      <c r="CK385" s="26"/>
      <c r="CL385" s="26"/>
      <c r="CM385" s="26"/>
      <c r="CN385" s="26"/>
      <c r="CO385" s="26"/>
      <c r="CP385" s="26"/>
      <c r="CQ385" s="26"/>
      <c r="CR385" s="26"/>
      <c r="CS385" s="26"/>
      <c r="CT385" s="26"/>
      <c r="CU385" s="26"/>
      <c r="CV385" s="26"/>
      <c r="CW385" s="26"/>
      <c r="CX385" s="26"/>
      <c r="CY385" s="26"/>
      <c r="CZ385" s="26"/>
      <c r="DA385" s="26"/>
      <c r="DB385" s="26"/>
      <c r="DC385" s="26"/>
      <c r="DD385" s="26"/>
    </row>
    <row r="386" spans="59:108" x14ac:dyDescent="0.2">
      <c r="BG386" s="26"/>
      <c r="BH386" s="26"/>
      <c r="BI386" s="26"/>
      <c r="BJ386" s="26"/>
      <c r="BK386" s="26"/>
      <c r="BL386" s="26"/>
      <c r="BM386" s="26"/>
      <c r="BN386" s="26"/>
      <c r="BO386" s="26"/>
      <c r="BP386" s="26"/>
      <c r="BQ386" s="26"/>
      <c r="BR386" s="26"/>
      <c r="BS386" s="26"/>
      <c r="BT386" s="26"/>
      <c r="BU386" s="26"/>
      <c r="BV386" s="26"/>
      <c r="BW386" s="26"/>
      <c r="BX386" s="26"/>
      <c r="BY386" s="26"/>
      <c r="BZ386" s="26"/>
      <c r="CA386" s="26"/>
      <c r="CB386" s="26"/>
      <c r="CC386" s="26"/>
      <c r="CD386" s="26"/>
      <c r="CE386" s="26"/>
      <c r="CF386" s="26"/>
      <c r="CG386" s="26"/>
      <c r="CH386" s="26"/>
      <c r="CI386" s="26"/>
      <c r="CJ386" s="26"/>
      <c r="CK386" s="26"/>
      <c r="CL386" s="26"/>
      <c r="CM386" s="26"/>
      <c r="CN386" s="26"/>
      <c r="CO386" s="26"/>
      <c r="CP386" s="26"/>
      <c r="CQ386" s="26"/>
      <c r="CR386" s="26"/>
      <c r="CS386" s="26"/>
      <c r="CT386" s="26"/>
      <c r="CU386" s="26"/>
      <c r="CV386" s="26"/>
      <c r="CW386" s="26"/>
      <c r="CX386" s="26"/>
      <c r="CY386" s="26"/>
      <c r="CZ386" s="26"/>
      <c r="DA386" s="26"/>
      <c r="DB386" s="26"/>
      <c r="DC386" s="26"/>
      <c r="DD386" s="26"/>
    </row>
    <row r="387" spans="59:108" x14ac:dyDescent="0.2">
      <c r="BG387" s="26"/>
      <c r="BH387" s="26"/>
      <c r="BI387" s="26"/>
      <c r="BJ387" s="26"/>
      <c r="BK387" s="26"/>
      <c r="BL387" s="26"/>
      <c r="BM387" s="26"/>
      <c r="BN387" s="26"/>
      <c r="BO387" s="26"/>
      <c r="BP387" s="26"/>
      <c r="BQ387" s="26"/>
      <c r="BR387" s="26"/>
      <c r="BS387" s="26"/>
      <c r="BT387" s="26"/>
      <c r="BU387" s="26"/>
      <c r="BV387" s="26"/>
      <c r="BW387" s="26"/>
      <c r="BX387" s="26"/>
      <c r="BY387" s="26"/>
      <c r="BZ387" s="26"/>
      <c r="CA387" s="26"/>
      <c r="CB387" s="26"/>
      <c r="CC387" s="26"/>
      <c r="CD387" s="26"/>
      <c r="CE387" s="26"/>
      <c r="CF387" s="26"/>
      <c r="CG387" s="26"/>
      <c r="CH387" s="26"/>
      <c r="CI387" s="26"/>
      <c r="CJ387" s="26"/>
      <c r="CK387" s="26"/>
      <c r="CL387" s="26"/>
      <c r="CM387" s="26"/>
      <c r="CN387" s="26"/>
      <c r="CO387" s="26"/>
      <c r="CP387" s="26"/>
      <c r="CQ387" s="26"/>
      <c r="CR387" s="26"/>
      <c r="CS387" s="26"/>
      <c r="CT387" s="26"/>
      <c r="CU387" s="26"/>
      <c r="CV387" s="26"/>
      <c r="CW387" s="26"/>
      <c r="CX387" s="26"/>
      <c r="CY387" s="26"/>
      <c r="CZ387" s="26"/>
      <c r="DA387" s="26"/>
      <c r="DB387" s="26"/>
      <c r="DC387" s="26"/>
      <c r="DD387" s="26"/>
    </row>
    <row r="388" spans="59:108" x14ac:dyDescent="0.2">
      <c r="BG388" s="26"/>
      <c r="BH388" s="26"/>
      <c r="BI388" s="26"/>
      <c r="BJ388" s="26"/>
      <c r="BK388" s="26"/>
      <c r="BL388" s="26"/>
      <c r="BM388" s="26"/>
      <c r="BN388" s="26"/>
      <c r="BO388" s="26"/>
      <c r="BP388" s="26"/>
      <c r="BQ388" s="26"/>
      <c r="BR388" s="26"/>
      <c r="BS388" s="26"/>
      <c r="BT388" s="26"/>
      <c r="BU388" s="26"/>
      <c r="BV388" s="26"/>
      <c r="BW388" s="26"/>
      <c r="BX388" s="26"/>
      <c r="BY388" s="26"/>
      <c r="BZ388" s="26"/>
      <c r="CA388" s="26"/>
      <c r="CB388" s="26"/>
      <c r="CC388" s="26"/>
      <c r="CD388" s="26"/>
      <c r="CE388" s="26"/>
      <c r="CF388" s="26"/>
      <c r="CG388" s="26"/>
      <c r="CH388" s="26"/>
      <c r="CI388" s="26"/>
      <c r="CJ388" s="26"/>
      <c r="CK388" s="26"/>
      <c r="CL388" s="26"/>
      <c r="CM388" s="26"/>
      <c r="CN388" s="26"/>
      <c r="CO388" s="26"/>
      <c r="CP388" s="26"/>
      <c r="CQ388" s="26"/>
      <c r="CR388" s="26"/>
      <c r="CS388" s="26"/>
      <c r="CT388" s="26"/>
      <c r="CU388" s="26"/>
      <c r="CV388" s="26"/>
      <c r="CW388" s="26"/>
      <c r="CX388" s="26"/>
      <c r="CY388" s="26"/>
      <c r="CZ388" s="26"/>
      <c r="DA388" s="26"/>
      <c r="DB388" s="26"/>
      <c r="DC388" s="26"/>
      <c r="DD388" s="26"/>
    </row>
    <row r="389" spans="59:108" x14ac:dyDescent="0.2">
      <c r="BG389" s="26"/>
      <c r="BH389" s="26"/>
      <c r="BI389" s="26"/>
      <c r="BJ389" s="26"/>
      <c r="BK389" s="26"/>
      <c r="BL389" s="26"/>
      <c r="BM389" s="26"/>
      <c r="BN389" s="26"/>
      <c r="BO389" s="26"/>
      <c r="BP389" s="26"/>
      <c r="BQ389" s="26"/>
      <c r="BR389" s="26"/>
      <c r="BS389" s="26"/>
      <c r="BT389" s="26"/>
      <c r="BU389" s="26"/>
      <c r="BV389" s="26"/>
      <c r="BW389" s="26"/>
      <c r="BX389" s="26"/>
      <c r="BY389" s="26"/>
      <c r="BZ389" s="26"/>
      <c r="CA389" s="26"/>
      <c r="CB389" s="26"/>
      <c r="CC389" s="26"/>
      <c r="CD389" s="26"/>
      <c r="CE389" s="26"/>
      <c r="CF389" s="26"/>
      <c r="CG389" s="26"/>
      <c r="CH389" s="26"/>
      <c r="CI389" s="26"/>
      <c r="CJ389" s="26"/>
      <c r="CK389" s="26"/>
      <c r="CL389" s="26"/>
      <c r="CM389" s="26"/>
      <c r="CN389" s="26"/>
      <c r="CO389" s="26"/>
      <c r="CP389" s="26"/>
      <c r="CQ389" s="26"/>
      <c r="CR389" s="26"/>
      <c r="CS389" s="26"/>
      <c r="CT389" s="26"/>
      <c r="CU389" s="26"/>
      <c r="CV389" s="26"/>
      <c r="CW389" s="26"/>
      <c r="CX389" s="26"/>
      <c r="CY389" s="26"/>
      <c r="CZ389" s="26"/>
      <c r="DA389" s="26"/>
      <c r="DB389" s="26"/>
      <c r="DC389" s="26"/>
      <c r="DD389" s="26"/>
    </row>
    <row r="390" spans="59:108" x14ac:dyDescent="0.2">
      <c r="BG390" s="26"/>
      <c r="BH390" s="26"/>
      <c r="BI390" s="26"/>
      <c r="BJ390" s="26"/>
      <c r="BK390" s="26"/>
      <c r="BL390" s="26"/>
      <c r="BM390" s="26"/>
      <c r="BN390" s="26"/>
      <c r="BO390" s="26"/>
      <c r="BP390" s="26"/>
      <c r="BQ390" s="26"/>
      <c r="BR390" s="26"/>
      <c r="BS390" s="26"/>
      <c r="BT390" s="26"/>
      <c r="BU390" s="26"/>
      <c r="BV390" s="26"/>
      <c r="BW390" s="26"/>
      <c r="BX390" s="26"/>
      <c r="BY390" s="26"/>
      <c r="BZ390" s="26"/>
      <c r="CA390" s="26"/>
      <c r="CB390" s="26"/>
      <c r="CC390" s="26"/>
      <c r="CD390" s="26"/>
      <c r="CE390" s="26"/>
      <c r="CF390" s="26"/>
      <c r="CG390" s="26"/>
      <c r="CH390" s="26"/>
      <c r="CI390" s="26"/>
      <c r="CJ390" s="26"/>
      <c r="CK390" s="26"/>
      <c r="CL390" s="26"/>
      <c r="CM390" s="26"/>
      <c r="CN390" s="26"/>
      <c r="CO390" s="26"/>
      <c r="CP390" s="26"/>
      <c r="CQ390" s="26"/>
      <c r="CR390" s="26"/>
      <c r="CS390" s="26"/>
      <c r="CT390" s="26"/>
      <c r="CU390" s="26"/>
      <c r="CV390" s="26"/>
      <c r="CW390" s="26"/>
      <c r="CX390" s="26"/>
      <c r="CY390" s="26"/>
      <c r="CZ390" s="26"/>
      <c r="DA390" s="26"/>
      <c r="DB390" s="26"/>
      <c r="DC390" s="26"/>
      <c r="DD390" s="26"/>
    </row>
    <row r="391" spans="59:108" x14ac:dyDescent="0.2">
      <c r="BG391" s="26"/>
      <c r="BH391" s="26"/>
      <c r="BI391" s="26"/>
      <c r="BJ391" s="26"/>
      <c r="BK391" s="26"/>
      <c r="BL391" s="26"/>
      <c r="BM391" s="26"/>
      <c r="BN391" s="26"/>
      <c r="BO391" s="26"/>
      <c r="BP391" s="26"/>
      <c r="BQ391" s="26"/>
      <c r="BR391" s="26"/>
      <c r="BS391" s="26"/>
      <c r="BT391" s="26"/>
      <c r="BU391" s="26"/>
      <c r="BV391" s="26"/>
      <c r="BW391" s="26"/>
      <c r="BX391" s="26"/>
      <c r="BY391" s="26"/>
      <c r="BZ391" s="26"/>
      <c r="CA391" s="26"/>
      <c r="CB391" s="26"/>
      <c r="CC391" s="26"/>
      <c r="CD391" s="26"/>
      <c r="CE391" s="26"/>
      <c r="CF391" s="26"/>
      <c r="CG391" s="26"/>
      <c r="CH391" s="26"/>
      <c r="CI391" s="26"/>
      <c r="CJ391" s="26"/>
      <c r="CK391" s="26"/>
      <c r="CL391" s="26"/>
      <c r="CM391" s="26"/>
      <c r="CN391" s="26"/>
      <c r="CO391" s="26"/>
      <c r="CP391" s="26"/>
      <c r="CQ391" s="26"/>
      <c r="CR391" s="26"/>
      <c r="CS391" s="26"/>
      <c r="CT391" s="26"/>
      <c r="CU391" s="26"/>
      <c r="CV391" s="26"/>
      <c r="CW391" s="26"/>
      <c r="CX391" s="26"/>
      <c r="CY391" s="26"/>
      <c r="CZ391" s="26"/>
      <c r="DA391" s="26"/>
      <c r="DB391" s="26"/>
      <c r="DC391" s="26"/>
      <c r="DD391" s="26"/>
    </row>
    <row r="392" spans="59:108" x14ac:dyDescent="0.2">
      <c r="BG392" s="26"/>
      <c r="BH392" s="26"/>
      <c r="BI392" s="26"/>
      <c r="BJ392" s="26"/>
      <c r="BK392" s="26"/>
      <c r="BL392" s="26"/>
      <c r="BM392" s="26"/>
      <c r="BN392" s="26"/>
      <c r="BO392" s="26"/>
      <c r="BP392" s="26"/>
      <c r="BQ392" s="26"/>
      <c r="BR392" s="26"/>
      <c r="BS392" s="26"/>
      <c r="BT392" s="26"/>
      <c r="BU392" s="26"/>
      <c r="BV392" s="26"/>
      <c r="BW392" s="26"/>
      <c r="BX392" s="26"/>
      <c r="BY392" s="26"/>
      <c r="BZ392" s="26"/>
      <c r="CA392" s="26"/>
      <c r="CB392" s="26"/>
      <c r="CC392" s="26"/>
      <c r="CD392" s="26"/>
      <c r="CE392" s="26"/>
      <c r="CF392" s="26"/>
      <c r="CG392" s="26"/>
      <c r="CH392" s="26"/>
      <c r="CI392" s="26"/>
      <c r="CJ392" s="26"/>
      <c r="CK392" s="26"/>
      <c r="CL392" s="26"/>
      <c r="CM392" s="26"/>
      <c r="CN392" s="26"/>
      <c r="CO392" s="26"/>
      <c r="CP392" s="26"/>
      <c r="CQ392" s="26"/>
      <c r="CR392" s="26"/>
      <c r="CS392" s="26"/>
      <c r="CT392" s="26"/>
      <c r="CU392" s="26"/>
      <c r="CV392" s="26"/>
      <c r="CW392" s="26"/>
      <c r="CX392" s="26"/>
      <c r="CY392" s="26"/>
      <c r="CZ392" s="26"/>
      <c r="DA392" s="26"/>
      <c r="DB392" s="26"/>
      <c r="DC392" s="26"/>
      <c r="DD392" s="26"/>
    </row>
    <row r="393" spans="59:108" x14ac:dyDescent="0.2">
      <c r="BG393" s="26"/>
      <c r="BH393" s="26"/>
      <c r="BI393" s="26"/>
      <c r="BJ393" s="26"/>
      <c r="BK393" s="26"/>
      <c r="BL393" s="26"/>
      <c r="BM393" s="26"/>
      <c r="BN393" s="26"/>
      <c r="BO393" s="26"/>
      <c r="BP393" s="26"/>
      <c r="BQ393" s="26"/>
      <c r="BR393" s="26"/>
      <c r="BS393" s="26"/>
      <c r="BT393" s="26"/>
      <c r="BU393" s="26"/>
      <c r="BV393" s="26"/>
      <c r="BW393" s="26"/>
      <c r="BX393" s="26"/>
      <c r="BY393" s="26"/>
      <c r="BZ393" s="26"/>
      <c r="CA393" s="26"/>
      <c r="CB393" s="26"/>
      <c r="CC393" s="26"/>
      <c r="CD393" s="26"/>
      <c r="CE393" s="26"/>
      <c r="CF393" s="26"/>
      <c r="CG393" s="26"/>
      <c r="CH393" s="26"/>
      <c r="CI393" s="26"/>
      <c r="CJ393" s="26"/>
      <c r="CK393" s="26"/>
      <c r="CL393" s="26"/>
      <c r="CM393" s="26"/>
      <c r="CN393" s="26"/>
      <c r="CO393" s="26"/>
      <c r="CP393" s="26"/>
      <c r="CQ393" s="26"/>
      <c r="CR393" s="26"/>
      <c r="CS393" s="26"/>
      <c r="CT393" s="26"/>
      <c r="CU393" s="26"/>
      <c r="CV393" s="26"/>
      <c r="CW393" s="26"/>
      <c r="CX393" s="26"/>
      <c r="CY393" s="26"/>
      <c r="CZ393" s="26"/>
      <c r="DA393" s="26"/>
      <c r="DB393" s="26"/>
      <c r="DC393" s="26"/>
      <c r="DD393" s="26"/>
    </row>
    <row r="394" spans="59:108" x14ac:dyDescent="0.2">
      <c r="BG394" s="26"/>
      <c r="BH394" s="26"/>
      <c r="BI394" s="26"/>
      <c r="BJ394" s="26"/>
      <c r="BK394" s="26"/>
      <c r="BL394" s="26"/>
      <c r="BM394" s="26"/>
      <c r="BN394" s="26"/>
      <c r="BO394" s="26"/>
      <c r="BP394" s="26"/>
      <c r="BQ394" s="26"/>
      <c r="BR394" s="26"/>
      <c r="BS394" s="26"/>
      <c r="BT394" s="26"/>
      <c r="BU394" s="26"/>
      <c r="BV394" s="26"/>
      <c r="BW394" s="26"/>
      <c r="BX394" s="26"/>
      <c r="BY394" s="26"/>
      <c r="BZ394" s="26"/>
      <c r="CA394" s="26"/>
      <c r="CB394" s="26"/>
      <c r="CC394" s="26"/>
      <c r="CD394" s="26"/>
      <c r="CE394" s="26"/>
      <c r="CF394" s="26"/>
      <c r="CG394" s="26"/>
      <c r="CH394" s="26"/>
      <c r="CI394" s="26"/>
      <c r="CJ394" s="26"/>
      <c r="CK394" s="26"/>
      <c r="CL394" s="26"/>
      <c r="CM394" s="26"/>
      <c r="CN394" s="26"/>
      <c r="CO394" s="26"/>
      <c r="CP394" s="26"/>
      <c r="CQ394" s="26"/>
      <c r="CR394" s="26"/>
      <c r="CS394" s="26"/>
      <c r="CT394" s="26"/>
      <c r="CU394" s="26"/>
      <c r="CV394" s="26"/>
      <c r="CW394" s="26"/>
      <c r="CX394" s="26"/>
      <c r="CY394" s="26"/>
      <c r="CZ394" s="26"/>
      <c r="DA394" s="26"/>
      <c r="DB394" s="26"/>
      <c r="DC394" s="26"/>
      <c r="DD394" s="26"/>
    </row>
    <row r="395" spans="59:108" x14ac:dyDescent="0.2">
      <c r="BG395" s="26"/>
      <c r="BH395" s="26"/>
      <c r="BI395" s="26"/>
      <c r="BJ395" s="26"/>
      <c r="BK395" s="26"/>
      <c r="BL395" s="26"/>
      <c r="BM395" s="26"/>
      <c r="BN395" s="26"/>
      <c r="BO395" s="26"/>
      <c r="BP395" s="26"/>
      <c r="BQ395" s="26"/>
      <c r="BR395" s="26"/>
      <c r="BS395" s="26"/>
      <c r="BT395" s="26"/>
      <c r="BU395" s="26"/>
      <c r="BV395" s="26"/>
      <c r="BW395" s="26"/>
      <c r="BX395" s="26"/>
      <c r="BY395" s="26"/>
      <c r="BZ395" s="26"/>
      <c r="CA395" s="26"/>
      <c r="CB395" s="26"/>
      <c r="CC395" s="26"/>
      <c r="CD395" s="26"/>
      <c r="CE395" s="26"/>
      <c r="CF395" s="26"/>
      <c r="CG395" s="26"/>
      <c r="CH395" s="26"/>
      <c r="CI395" s="26"/>
      <c r="CJ395" s="26"/>
      <c r="CK395" s="26"/>
      <c r="CL395" s="26"/>
      <c r="CM395" s="26"/>
      <c r="CN395" s="26"/>
      <c r="CO395" s="26"/>
      <c r="CP395" s="26"/>
      <c r="CQ395" s="26"/>
      <c r="CR395" s="26"/>
      <c r="CS395" s="26"/>
      <c r="CT395" s="26"/>
      <c r="CU395" s="26"/>
      <c r="CV395" s="26"/>
      <c r="CW395" s="26"/>
      <c r="CX395" s="26"/>
      <c r="CY395" s="26"/>
      <c r="CZ395" s="26"/>
      <c r="DA395" s="26"/>
      <c r="DB395" s="26"/>
      <c r="DC395" s="26"/>
      <c r="DD395" s="26"/>
    </row>
    <row r="396" spans="59:108" x14ac:dyDescent="0.2">
      <c r="BG396" s="26"/>
      <c r="BH396" s="26"/>
      <c r="BI396" s="26"/>
      <c r="BJ396" s="26"/>
      <c r="BK396" s="26"/>
      <c r="BL396" s="26"/>
      <c r="BM396" s="26"/>
      <c r="BN396" s="26"/>
      <c r="BO396" s="26"/>
      <c r="BP396" s="26"/>
      <c r="BQ396" s="26"/>
      <c r="BR396" s="26"/>
      <c r="BS396" s="26"/>
      <c r="BT396" s="26"/>
      <c r="BU396" s="26"/>
      <c r="BV396" s="26"/>
      <c r="BW396" s="26"/>
      <c r="BX396" s="26"/>
      <c r="BY396" s="26"/>
      <c r="BZ396" s="26"/>
      <c r="CA396" s="26"/>
      <c r="CB396" s="26"/>
      <c r="CC396" s="26"/>
      <c r="CD396" s="26"/>
      <c r="CE396" s="26"/>
      <c r="CF396" s="26"/>
      <c r="CG396" s="26"/>
      <c r="CH396" s="26"/>
      <c r="CI396" s="26"/>
      <c r="CJ396" s="26"/>
      <c r="CK396" s="26"/>
      <c r="CL396" s="26"/>
      <c r="CM396" s="26"/>
      <c r="CN396" s="26"/>
      <c r="CO396" s="26"/>
      <c r="CP396" s="26"/>
      <c r="CQ396" s="26"/>
      <c r="CR396" s="26"/>
      <c r="CS396" s="26"/>
      <c r="CT396" s="26"/>
      <c r="CU396" s="26"/>
      <c r="CV396" s="26"/>
      <c r="CW396" s="26"/>
      <c r="CX396" s="26"/>
      <c r="CY396" s="26"/>
      <c r="CZ396" s="26"/>
      <c r="DA396" s="26"/>
      <c r="DB396" s="26"/>
      <c r="DC396" s="26"/>
      <c r="DD396" s="26"/>
    </row>
    <row r="397" spans="59:108" x14ac:dyDescent="0.2">
      <c r="BG397" s="26"/>
      <c r="BH397" s="26"/>
      <c r="BI397" s="26"/>
      <c r="BJ397" s="26"/>
      <c r="BK397" s="26"/>
      <c r="BL397" s="26"/>
      <c r="BM397" s="26"/>
      <c r="BN397" s="26"/>
      <c r="BO397" s="26"/>
      <c r="BP397" s="26"/>
      <c r="BQ397" s="26"/>
      <c r="BR397" s="26"/>
      <c r="BS397" s="26"/>
      <c r="BT397" s="26"/>
      <c r="BU397" s="26"/>
      <c r="BV397" s="26"/>
      <c r="BW397" s="26"/>
      <c r="BX397" s="26"/>
      <c r="BY397" s="26"/>
      <c r="BZ397" s="26"/>
      <c r="CA397" s="26"/>
      <c r="CB397" s="26"/>
      <c r="CC397" s="26"/>
      <c r="CD397" s="26"/>
      <c r="CE397" s="26"/>
      <c r="CF397" s="26"/>
      <c r="CG397" s="26"/>
      <c r="CH397" s="26"/>
      <c r="CI397" s="26"/>
      <c r="CJ397" s="26"/>
      <c r="CK397" s="26"/>
      <c r="CL397" s="26"/>
      <c r="CM397" s="26"/>
      <c r="CN397" s="26"/>
      <c r="CO397" s="26"/>
      <c r="CP397" s="26"/>
      <c r="CQ397" s="26"/>
      <c r="CR397" s="26"/>
      <c r="CS397" s="26"/>
      <c r="CT397" s="26"/>
      <c r="CU397" s="26"/>
      <c r="CV397" s="26"/>
      <c r="CW397" s="26"/>
      <c r="CX397" s="26"/>
      <c r="CY397" s="26"/>
      <c r="CZ397" s="26"/>
      <c r="DA397" s="26"/>
      <c r="DB397" s="26"/>
      <c r="DC397" s="26"/>
      <c r="DD397" s="26"/>
    </row>
    <row r="398" spans="59:108" x14ac:dyDescent="0.2">
      <c r="BG398" s="26"/>
      <c r="BH398" s="26"/>
      <c r="BI398" s="26"/>
      <c r="BJ398" s="26"/>
      <c r="BK398" s="26"/>
      <c r="BL398" s="26"/>
      <c r="BM398" s="26"/>
      <c r="BN398" s="26"/>
      <c r="BO398" s="26"/>
      <c r="BP398" s="26"/>
      <c r="BQ398" s="26"/>
      <c r="BR398" s="26"/>
      <c r="BS398" s="26"/>
      <c r="BT398" s="26"/>
      <c r="BU398" s="26"/>
      <c r="BV398" s="26"/>
      <c r="BW398" s="26"/>
      <c r="BX398" s="26"/>
      <c r="BY398" s="26"/>
      <c r="BZ398" s="26"/>
      <c r="CA398" s="26"/>
      <c r="CB398" s="26"/>
      <c r="CC398" s="26"/>
      <c r="CD398" s="26"/>
      <c r="CE398" s="26"/>
      <c r="CF398" s="26"/>
      <c r="CG398" s="26"/>
      <c r="CH398" s="26"/>
      <c r="CI398" s="26"/>
      <c r="CJ398" s="26"/>
      <c r="CK398" s="26"/>
      <c r="CL398" s="26"/>
      <c r="CM398" s="26"/>
      <c r="CN398" s="26"/>
      <c r="CO398" s="26"/>
      <c r="CP398" s="26"/>
      <c r="CQ398" s="26"/>
      <c r="CR398" s="26"/>
      <c r="CS398" s="26"/>
      <c r="CT398" s="26"/>
      <c r="CU398" s="26"/>
      <c r="CV398" s="26"/>
      <c r="CW398" s="26"/>
      <c r="CX398" s="26"/>
      <c r="CY398" s="26"/>
      <c r="CZ398" s="26"/>
      <c r="DA398" s="26"/>
      <c r="DB398" s="26"/>
      <c r="DC398" s="26"/>
      <c r="DD398" s="26"/>
    </row>
    <row r="399" spans="59:108" x14ac:dyDescent="0.2">
      <c r="BG399" s="26"/>
      <c r="BH399" s="26"/>
      <c r="BI399" s="26"/>
      <c r="BJ399" s="26"/>
      <c r="BK399" s="26"/>
      <c r="BL399" s="26"/>
      <c r="BM399" s="26"/>
      <c r="BN399" s="26"/>
      <c r="BO399" s="26"/>
      <c r="BP399" s="26"/>
      <c r="BQ399" s="26"/>
      <c r="BR399" s="26"/>
      <c r="BS399" s="26"/>
      <c r="BT399" s="26"/>
      <c r="BU399" s="26"/>
      <c r="BV399" s="26"/>
      <c r="BW399" s="26"/>
      <c r="BX399" s="26"/>
      <c r="BY399" s="26"/>
      <c r="BZ399" s="26"/>
      <c r="CA399" s="26"/>
      <c r="CB399" s="26"/>
      <c r="CC399" s="26"/>
      <c r="CD399" s="26"/>
      <c r="CE399" s="26"/>
      <c r="CF399" s="26"/>
      <c r="CG399" s="26"/>
      <c r="CH399" s="26"/>
      <c r="CI399" s="26"/>
      <c r="CJ399" s="26"/>
      <c r="CK399" s="26"/>
      <c r="CL399" s="26"/>
      <c r="CM399" s="26"/>
      <c r="CN399" s="26"/>
      <c r="CO399" s="26"/>
      <c r="CP399" s="26"/>
      <c r="CQ399" s="26"/>
      <c r="CR399" s="26"/>
      <c r="CS399" s="26"/>
      <c r="CT399" s="26"/>
      <c r="CU399" s="26"/>
      <c r="CV399" s="26"/>
      <c r="CW399" s="26"/>
      <c r="CX399" s="26"/>
      <c r="CY399" s="26"/>
      <c r="CZ399" s="26"/>
      <c r="DA399" s="26"/>
      <c r="DB399" s="26"/>
      <c r="DC399" s="26"/>
      <c r="DD399" s="26"/>
    </row>
    <row r="400" spans="59:108" x14ac:dyDescent="0.2">
      <c r="BG400" s="26"/>
      <c r="BH400" s="26"/>
      <c r="BI400" s="26"/>
      <c r="BJ400" s="26"/>
      <c r="BK400" s="26"/>
      <c r="BL400" s="26"/>
      <c r="BM400" s="26"/>
      <c r="BN400" s="26"/>
      <c r="BO400" s="26"/>
      <c r="BP400" s="26"/>
      <c r="BQ400" s="26"/>
      <c r="BR400" s="26"/>
      <c r="BS400" s="26"/>
      <c r="BT400" s="26"/>
      <c r="BU400" s="26"/>
      <c r="BV400" s="26"/>
      <c r="BW400" s="26"/>
      <c r="BX400" s="26"/>
      <c r="BY400" s="26"/>
      <c r="BZ400" s="26"/>
      <c r="CA400" s="26"/>
      <c r="CB400" s="26"/>
      <c r="CC400" s="26"/>
      <c r="CD400" s="26"/>
      <c r="CE400" s="26"/>
      <c r="CF400" s="26"/>
      <c r="CG400" s="26"/>
      <c r="CH400" s="26"/>
      <c r="CI400" s="26"/>
      <c r="CJ400" s="26"/>
      <c r="CK400" s="26"/>
      <c r="CL400" s="26"/>
      <c r="CM400" s="26"/>
      <c r="CN400" s="26"/>
      <c r="CO400" s="26"/>
      <c r="CP400" s="26"/>
      <c r="CQ400" s="26"/>
      <c r="CR400" s="26"/>
      <c r="CS400" s="26"/>
      <c r="CT400" s="26"/>
      <c r="CU400" s="26"/>
      <c r="CV400" s="26"/>
      <c r="CW400" s="26"/>
      <c r="CX400" s="26"/>
      <c r="CY400" s="26"/>
      <c r="CZ400" s="26"/>
      <c r="DA400" s="26"/>
      <c r="DB400" s="26"/>
      <c r="DC400" s="26"/>
      <c r="DD400" s="26"/>
    </row>
    <row r="401" spans="59:108" x14ac:dyDescent="0.2">
      <c r="BG401" s="26"/>
      <c r="BH401" s="26"/>
      <c r="BI401" s="26"/>
      <c r="BJ401" s="26"/>
      <c r="BK401" s="26"/>
      <c r="BL401" s="26"/>
      <c r="BM401" s="26"/>
      <c r="BN401" s="26"/>
      <c r="BO401" s="26"/>
      <c r="BP401" s="26"/>
      <c r="BQ401" s="26"/>
      <c r="BR401" s="26"/>
      <c r="BS401" s="26"/>
      <c r="BT401" s="26"/>
      <c r="BU401" s="26"/>
      <c r="BV401" s="26"/>
      <c r="BW401" s="26"/>
      <c r="BX401" s="26"/>
      <c r="BY401" s="26"/>
      <c r="BZ401" s="26"/>
      <c r="CA401" s="26"/>
      <c r="CB401" s="26"/>
      <c r="CC401" s="26"/>
      <c r="CD401" s="26"/>
      <c r="CE401" s="26"/>
      <c r="CF401" s="26"/>
      <c r="CG401" s="26"/>
      <c r="CH401" s="26"/>
      <c r="CI401" s="26"/>
      <c r="CJ401" s="26"/>
      <c r="CK401" s="26"/>
      <c r="CL401" s="26"/>
      <c r="CM401" s="26"/>
      <c r="CN401" s="26"/>
      <c r="CO401" s="26"/>
      <c r="CP401" s="26"/>
      <c r="CQ401" s="26"/>
      <c r="CR401" s="26"/>
      <c r="CS401" s="26"/>
      <c r="CT401" s="26"/>
      <c r="CU401" s="26"/>
      <c r="CV401" s="26"/>
      <c r="CW401" s="26"/>
      <c r="CX401" s="26"/>
      <c r="CY401" s="26"/>
      <c r="CZ401" s="26"/>
      <c r="DA401" s="26"/>
      <c r="DB401" s="26"/>
      <c r="DC401" s="26"/>
      <c r="DD401" s="26"/>
    </row>
    <row r="402" spans="59:108" x14ac:dyDescent="0.2">
      <c r="BG402" s="26"/>
      <c r="BH402" s="26"/>
      <c r="BI402" s="26"/>
      <c r="BJ402" s="26"/>
      <c r="BK402" s="26"/>
      <c r="BL402" s="26"/>
      <c r="BM402" s="26"/>
      <c r="BN402" s="26"/>
      <c r="BO402" s="26"/>
      <c r="BP402" s="26"/>
      <c r="BQ402" s="26"/>
      <c r="BR402" s="26"/>
      <c r="BS402" s="26"/>
      <c r="BT402" s="26"/>
      <c r="BU402" s="26"/>
      <c r="BV402" s="26"/>
      <c r="BW402" s="26"/>
      <c r="BX402" s="26"/>
      <c r="BY402" s="26"/>
      <c r="BZ402" s="26"/>
      <c r="CA402" s="26"/>
      <c r="CB402" s="26"/>
      <c r="CC402" s="26"/>
      <c r="CD402" s="26"/>
      <c r="CE402" s="26"/>
      <c r="CF402" s="26"/>
      <c r="CG402" s="26"/>
      <c r="CH402" s="26"/>
      <c r="CI402" s="26"/>
      <c r="CJ402" s="26"/>
      <c r="CK402" s="26"/>
      <c r="CL402" s="26"/>
      <c r="CM402" s="26"/>
      <c r="CN402" s="26"/>
      <c r="CO402" s="26"/>
      <c r="CP402" s="26"/>
      <c r="CQ402" s="26"/>
      <c r="CR402" s="26"/>
      <c r="CS402" s="26"/>
      <c r="CT402" s="26"/>
      <c r="CU402" s="26"/>
      <c r="CV402" s="26"/>
      <c r="CW402" s="26"/>
      <c r="CX402" s="26"/>
      <c r="CY402" s="26"/>
      <c r="CZ402" s="26"/>
      <c r="DA402" s="26"/>
      <c r="DB402" s="26"/>
      <c r="DC402" s="26"/>
      <c r="DD402" s="26"/>
    </row>
    <row r="403" spans="59:108" x14ac:dyDescent="0.2">
      <c r="BG403" s="26"/>
      <c r="BH403" s="26"/>
      <c r="BI403" s="26"/>
      <c r="BJ403" s="26"/>
      <c r="BK403" s="26"/>
      <c r="BL403" s="26"/>
      <c r="BM403" s="26"/>
      <c r="BN403" s="26"/>
      <c r="BO403" s="26"/>
      <c r="BP403" s="26"/>
      <c r="BQ403" s="26"/>
      <c r="BR403" s="26"/>
      <c r="BS403" s="26"/>
      <c r="BT403" s="26"/>
      <c r="BU403" s="26"/>
      <c r="BV403" s="26"/>
      <c r="BW403" s="26"/>
      <c r="BX403" s="26"/>
      <c r="BY403" s="26"/>
      <c r="BZ403" s="26"/>
      <c r="CA403" s="26"/>
      <c r="CB403" s="26"/>
      <c r="CC403" s="26"/>
      <c r="CD403" s="26"/>
      <c r="CE403" s="26"/>
      <c r="CF403" s="26"/>
      <c r="CG403" s="26"/>
      <c r="CH403" s="26"/>
      <c r="CI403" s="26"/>
      <c r="CJ403" s="26"/>
      <c r="CK403" s="26"/>
      <c r="CL403" s="26"/>
      <c r="CM403" s="26"/>
      <c r="CN403" s="26"/>
      <c r="CO403" s="26"/>
      <c r="CP403" s="26"/>
      <c r="CQ403" s="26"/>
      <c r="CR403" s="26"/>
      <c r="CS403" s="26"/>
      <c r="CT403" s="26"/>
      <c r="CU403" s="26"/>
      <c r="CV403" s="26"/>
      <c r="CW403" s="26"/>
      <c r="CX403" s="26"/>
      <c r="CY403" s="26"/>
      <c r="CZ403" s="26"/>
      <c r="DA403" s="26"/>
      <c r="DB403" s="26"/>
      <c r="DC403" s="26"/>
      <c r="DD403" s="26"/>
    </row>
    <row r="404" spans="59:108" x14ac:dyDescent="0.2">
      <c r="BG404" s="26"/>
      <c r="BH404" s="26"/>
      <c r="BI404" s="26"/>
      <c r="BJ404" s="26"/>
      <c r="BK404" s="26"/>
      <c r="BL404" s="26"/>
      <c r="BM404" s="26"/>
      <c r="BN404" s="26"/>
      <c r="BO404" s="26"/>
      <c r="BP404" s="26"/>
      <c r="BQ404" s="26"/>
      <c r="BR404" s="26"/>
      <c r="BS404" s="26"/>
      <c r="BT404" s="26"/>
      <c r="BU404" s="26"/>
      <c r="BV404" s="26"/>
      <c r="BW404" s="26"/>
      <c r="BX404" s="26"/>
      <c r="BY404" s="26"/>
      <c r="BZ404" s="26"/>
      <c r="CA404" s="26"/>
      <c r="CB404" s="26"/>
      <c r="CC404" s="26"/>
      <c r="CD404" s="26"/>
      <c r="CE404" s="26"/>
      <c r="CF404" s="26"/>
      <c r="CG404" s="26"/>
      <c r="CH404" s="26"/>
      <c r="CI404" s="26"/>
      <c r="CJ404" s="26"/>
      <c r="CK404" s="26"/>
      <c r="CL404" s="26"/>
      <c r="CM404" s="26"/>
      <c r="CN404" s="26"/>
      <c r="CO404" s="26"/>
      <c r="CP404" s="26"/>
      <c r="CQ404" s="26"/>
      <c r="CR404" s="26"/>
      <c r="CS404" s="26"/>
      <c r="CT404" s="26"/>
      <c r="CU404" s="26"/>
      <c r="CV404" s="26"/>
      <c r="CW404" s="26"/>
      <c r="CX404" s="26"/>
      <c r="CY404" s="26"/>
      <c r="CZ404" s="26"/>
      <c r="DA404" s="26"/>
      <c r="DB404" s="26"/>
      <c r="DC404" s="26"/>
      <c r="DD404" s="26"/>
    </row>
    <row r="405" spans="59:108" x14ac:dyDescent="0.2">
      <c r="BG405" s="26"/>
      <c r="BH405" s="26"/>
      <c r="BI405" s="26"/>
      <c r="BJ405" s="26"/>
      <c r="BK405" s="26"/>
      <c r="BL405" s="26"/>
      <c r="BM405" s="26"/>
      <c r="BN405" s="26"/>
      <c r="BO405" s="26"/>
      <c r="BP405" s="26"/>
      <c r="BQ405" s="26"/>
      <c r="BR405" s="26"/>
      <c r="BS405" s="26"/>
      <c r="BT405" s="26"/>
      <c r="BU405" s="26"/>
      <c r="BV405" s="26"/>
      <c r="BW405" s="26"/>
      <c r="BX405" s="26"/>
      <c r="BY405" s="26"/>
      <c r="BZ405" s="26"/>
      <c r="CA405" s="26"/>
      <c r="CB405" s="26"/>
      <c r="CC405" s="26"/>
      <c r="CD405" s="26"/>
      <c r="CE405" s="26"/>
      <c r="CF405" s="26"/>
      <c r="CG405" s="26"/>
      <c r="CH405" s="26"/>
      <c r="CI405" s="26"/>
      <c r="CJ405" s="26"/>
      <c r="CK405" s="26"/>
      <c r="CL405" s="26"/>
      <c r="CM405" s="26"/>
      <c r="CN405" s="26"/>
      <c r="CO405" s="26"/>
      <c r="CP405" s="26"/>
      <c r="CQ405" s="26"/>
      <c r="CR405" s="26"/>
      <c r="CS405" s="26"/>
      <c r="CT405" s="26"/>
      <c r="CU405" s="26"/>
      <c r="CV405" s="26"/>
      <c r="CW405" s="26"/>
      <c r="CX405" s="26"/>
      <c r="CY405" s="26"/>
      <c r="CZ405" s="26"/>
      <c r="DA405" s="26"/>
      <c r="DB405" s="26"/>
      <c r="DC405" s="26"/>
      <c r="DD405" s="26"/>
    </row>
    <row r="406" spans="59:108" x14ac:dyDescent="0.2">
      <c r="BG406" s="26"/>
      <c r="BH406" s="26"/>
      <c r="BI406" s="26"/>
      <c r="BJ406" s="26"/>
      <c r="BK406" s="26"/>
      <c r="BL406" s="26"/>
      <c r="BM406" s="26"/>
      <c r="BN406" s="26"/>
      <c r="BO406" s="26"/>
      <c r="BP406" s="26"/>
      <c r="BQ406" s="26"/>
      <c r="BR406" s="26"/>
      <c r="BS406" s="26"/>
      <c r="BT406" s="26"/>
      <c r="BU406" s="26"/>
      <c r="BV406" s="26"/>
      <c r="BW406" s="26"/>
      <c r="BX406" s="26"/>
      <c r="BY406" s="26"/>
      <c r="BZ406" s="26"/>
      <c r="CA406" s="26"/>
      <c r="CB406" s="26"/>
      <c r="CC406" s="26"/>
      <c r="CD406" s="26"/>
      <c r="CE406" s="26"/>
      <c r="CF406" s="26"/>
      <c r="CG406" s="26"/>
      <c r="CH406" s="26"/>
      <c r="CI406" s="26"/>
      <c r="CJ406" s="26"/>
      <c r="CK406" s="26"/>
      <c r="CL406" s="26"/>
      <c r="CM406" s="26"/>
      <c r="CN406" s="26"/>
      <c r="CO406" s="26"/>
      <c r="CP406" s="26"/>
      <c r="CQ406" s="26"/>
      <c r="CR406" s="26"/>
      <c r="CS406" s="26"/>
      <c r="CT406" s="26"/>
      <c r="CU406" s="26"/>
      <c r="CV406" s="26"/>
      <c r="CW406" s="26"/>
      <c r="CX406" s="26"/>
      <c r="CY406" s="26"/>
      <c r="CZ406" s="26"/>
      <c r="DA406" s="26"/>
      <c r="DB406" s="26"/>
      <c r="DC406" s="26"/>
      <c r="DD406" s="26"/>
    </row>
    <row r="407" spans="59:108" x14ac:dyDescent="0.2">
      <c r="BG407" s="26"/>
      <c r="BH407" s="26"/>
      <c r="BI407" s="26"/>
      <c r="BJ407" s="26"/>
      <c r="BK407" s="26"/>
      <c r="BL407" s="26"/>
      <c r="BM407" s="26"/>
      <c r="BN407" s="26"/>
      <c r="BO407" s="26"/>
      <c r="BP407" s="26"/>
      <c r="BQ407" s="26"/>
      <c r="BR407" s="26"/>
      <c r="BS407" s="26"/>
      <c r="BT407" s="26"/>
      <c r="BU407" s="26"/>
      <c r="BV407" s="26"/>
      <c r="BW407" s="26"/>
      <c r="BX407" s="26"/>
      <c r="BY407" s="26"/>
      <c r="BZ407" s="26"/>
      <c r="CA407" s="26"/>
      <c r="CB407" s="26"/>
      <c r="CC407" s="26"/>
      <c r="CD407" s="26"/>
      <c r="CE407" s="26"/>
      <c r="CF407" s="26"/>
      <c r="CG407" s="26"/>
      <c r="CH407" s="26"/>
      <c r="CI407" s="26"/>
      <c r="CJ407" s="26"/>
      <c r="CK407" s="26"/>
      <c r="CL407" s="26"/>
      <c r="CM407" s="26"/>
      <c r="CN407" s="26"/>
      <c r="CO407" s="26"/>
      <c r="CP407" s="26"/>
      <c r="CQ407" s="26"/>
      <c r="CR407" s="26"/>
      <c r="CS407" s="26"/>
      <c r="CT407" s="26"/>
      <c r="CU407" s="26"/>
      <c r="CV407" s="26"/>
      <c r="CW407" s="26"/>
      <c r="CX407" s="26"/>
      <c r="CY407" s="26"/>
      <c r="CZ407" s="26"/>
      <c r="DA407" s="26"/>
      <c r="DB407" s="26"/>
      <c r="DC407" s="26"/>
      <c r="DD407" s="26"/>
    </row>
    <row r="408" spans="59:108" x14ac:dyDescent="0.2">
      <c r="BG408" s="26"/>
      <c r="BH408" s="26"/>
      <c r="BI408" s="26"/>
      <c r="BJ408" s="26"/>
      <c r="BK408" s="26"/>
      <c r="BL408" s="26"/>
      <c r="BM408" s="26"/>
      <c r="BN408" s="26"/>
      <c r="BO408" s="26"/>
      <c r="BP408" s="26"/>
      <c r="BQ408" s="26"/>
      <c r="BR408" s="26"/>
      <c r="BS408" s="26"/>
      <c r="BT408" s="26"/>
      <c r="BU408" s="26"/>
      <c r="BV408" s="26"/>
      <c r="BW408" s="26"/>
      <c r="BX408" s="26"/>
      <c r="BY408" s="26"/>
      <c r="BZ408" s="26"/>
      <c r="CA408" s="26"/>
      <c r="CB408" s="26"/>
      <c r="CC408" s="26"/>
      <c r="CD408" s="26"/>
      <c r="CE408" s="26"/>
      <c r="CF408" s="26"/>
      <c r="CG408" s="26"/>
      <c r="CH408" s="26"/>
      <c r="CI408" s="26"/>
      <c r="CJ408" s="26"/>
      <c r="CK408" s="26"/>
      <c r="CL408" s="26"/>
      <c r="CM408" s="26"/>
      <c r="CN408" s="26"/>
      <c r="CO408" s="26"/>
      <c r="CP408" s="26"/>
      <c r="CQ408" s="26"/>
      <c r="CR408" s="26"/>
      <c r="CS408" s="26"/>
      <c r="CT408" s="26"/>
      <c r="CU408" s="26"/>
      <c r="CV408" s="26"/>
      <c r="CW408" s="26"/>
      <c r="CX408" s="26"/>
      <c r="CY408" s="26"/>
      <c r="CZ408" s="26"/>
      <c r="DA408" s="26"/>
      <c r="DB408" s="26"/>
      <c r="DC408" s="26"/>
      <c r="DD408" s="26"/>
    </row>
    <row r="409" spans="59:108" x14ac:dyDescent="0.2">
      <c r="BG409" s="26"/>
      <c r="BH409" s="26"/>
      <c r="BI409" s="26"/>
      <c r="BJ409" s="26"/>
      <c r="BK409" s="26"/>
      <c r="BL409" s="26"/>
      <c r="BM409" s="26"/>
      <c r="BN409" s="26"/>
      <c r="BO409" s="26"/>
      <c r="BP409" s="26"/>
      <c r="BQ409" s="26"/>
      <c r="BR409" s="26"/>
      <c r="BS409" s="26"/>
      <c r="BT409" s="26"/>
      <c r="BU409" s="26"/>
      <c r="BV409" s="26"/>
      <c r="BW409" s="26"/>
      <c r="BX409" s="26"/>
      <c r="BY409" s="26"/>
      <c r="BZ409" s="26"/>
      <c r="CA409" s="26"/>
      <c r="CB409" s="26"/>
      <c r="CC409" s="26"/>
      <c r="CD409" s="26"/>
      <c r="CE409" s="26"/>
      <c r="CF409" s="26"/>
      <c r="CG409" s="26"/>
      <c r="CH409" s="26"/>
      <c r="CI409" s="26"/>
      <c r="CJ409" s="26"/>
      <c r="CK409" s="26"/>
      <c r="CL409" s="26"/>
      <c r="CM409" s="26"/>
      <c r="CN409" s="26"/>
      <c r="CO409" s="26"/>
      <c r="CP409" s="26"/>
      <c r="CQ409" s="26"/>
      <c r="CR409" s="26"/>
      <c r="CS409" s="26"/>
      <c r="CT409" s="26"/>
      <c r="CU409" s="26"/>
      <c r="CV409" s="26"/>
      <c r="CW409" s="26"/>
      <c r="CX409" s="26"/>
      <c r="CY409" s="26"/>
      <c r="CZ409" s="26"/>
      <c r="DA409" s="26"/>
      <c r="DB409" s="26"/>
      <c r="DC409" s="26"/>
      <c r="DD409" s="26"/>
    </row>
    <row r="410" spans="59:108" x14ac:dyDescent="0.2">
      <c r="BG410" s="26"/>
      <c r="BH410" s="26"/>
      <c r="BI410" s="26"/>
      <c r="BJ410" s="26"/>
      <c r="BK410" s="26"/>
      <c r="BL410" s="26"/>
      <c r="BM410" s="26"/>
      <c r="BN410" s="26"/>
      <c r="BO410" s="26"/>
      <c r="BP410" s="26"/>
      <c r="BQ410" s="26"/>
      <c r="BR410" s="26"/>
      <c r="BS410" s="26"/>
      <c r="BT410" s="26"/>
      <c r="BU410" s="26"/>
      <c r="BV410" s="26"/>
      <c r="BW410" s="26"/>
      <c r="BX410" s="26"/>
      <c r="BY410" s="26"/>
      <c r="BZ410" s="26"/>
      <c r="CA410" s="26"/>
      <c r="CB410" s="26"/>
      <c r="CC410" s="26"/>
      <c r="CD410" s="26"/>
      <c r="CE410" s="26"/>
      <c r="CF410" s="26"/>
      <c r="CG410" s="26"/>
      <c r="CH410" s="26"/>
      <c r="CI410" s="26"/>
      <c r="CJ410" s="26"/>
      <c r="CK410" s="26"/>
      <c r="CL410" s="26"/>
      <c r="CM410" s="26"/>
      <c r="CN410" s="26"/>
      <c r="CO410" s="26"/>
      <c r="CP410" s="26"/>
      <c r="CQ410" s="26"/>
      <c r="CR410" s="26"/>
      <c r="CS410" s="26"/>
      <c r="CT410" s="26"/>
      <c r="CU410" s="26"/>
      <c r="CV410" s="26"/>
      <c r="CW410" s="26"/>
      <c r="CX410" s="26"/>
      <c r="CY410" s="26"/>
      <c r="CZ410" s="26"/>
      <c r="DA410" s="26"/>
      <c r="DB410" s="26"/>
      <c r="DC410" s="26"/>
      <c r="DD410" s="26"/>
    </row>
    <row r="411" spans="59:108" x14ac:dyDescent="0.2">
      <c r="BG411" s="26"/>
      <c r="BH411" s="26"/>
      <c r="BI411" s="26"/>
      <c r="BJ411" s="26"/>
      <c r="BK411" s="26"/>
      <c r="BL411" s="26"/>
      <c r="BM411" s="26"/>
      <c r="BN411" s="26"/>
      <c r="BO411" s="26"/>
      <c r="BP411" s="26"/>
      <c r="BQ411" s="26"/>
      <c r="BR411" s="26"/>
      <c r="BS411" s="26"/>
      <c r="BT411" s="26"/>
      <c r="BU411" s="26"/>
      <c r="BV411" s="26"/>
      <c r="BW411" s="26"/>
      <c r="BX411" s="26"/>
      <c r="BY411" s="26"/>
      <c r="BZ411" s="26"/>
      <c r="CA411" s="26"/>
      <c r="CB411" s="26"/>
      <c r="CC411" s="26"/>
      <c r="CD411" s="26"/>
      <c r="CE411" s="26"/>
      <c r="CF411" s="26"/>
      <c r="CG411" s="26"/>
      <c r="CH411" s="26"/>
      <c r="CI411" s="26"/>
      <c r="CJ411" s="26"/>
      <c r="CK411" s="26"/>
      <c r="CL411" s="26"/>
      <c r="CM411" s="26"/>
      <c r="CN411" s="26"/>
      <c r="CO411" s="26"/>
      <c r="CP411" s="26"/>
      <c r="CQ411" s="26"/>
      <c r="CR411" s="26"/>
      <c r="CS411" s="26"/>
      <c r="CT411" s="26"/>
      <c r="CU411" s="26"/>
      <c r="CV411" s="26"/>
      <c r="CW411" s="26"/>
      <c r="CX411" s="26"/>
      <c r="CY411" s="26"/>
      <c r="CZ411" s="26"/>
      <c r="DA411" s="26"/>
      <c r="DB411" s="26"/>
      <c r="DC411" s="26"/>
      <c r="DD411" s="26"/>
    </row>
    <row r="412" spans="59:108" x14ac:dyDescent="0.2">
      <c r="BG412" s="26"/>
      <c r="BH412" s="26"/>
      <c r="BI412" s="26"/>
      <c r="BJ412" s="26"/>
      <c r="BK412" s="26"/>
      <c r="BL412" s="26"/>
      <c r="BM412" s="26"/>
      <c r="BN412" s="26"/>
      <c r="BO412" s="26"/>
      <c r="BP412" s="26"/>
      <c r="BQ412" s="26"/>
      <c r="BR412" s="26"/>
      <c r="BS412" s="26"/>
      <c r="BT412" s="26"/>
      <c r="BU412" s="26"/>
      <c r="BV412" s="26"/>
      <c r="BW412" s="26"/>
      <c r="BX412" s="26"/>
      <c r="BY412" s="26"/>
      <c r="BZ412" s="26"/>
      <c r="CA412" s="26"/>
      <c r="CB412" s="26"/>
      <c r="CC412" s="26"/>
      <c r="CD412" s="26"/>
      <c r="CE412" s="26"/>
      <c r="CF412" s="26"/>
      <c r="CG412" s="26"/>
      <c r="CH412" s="26"/>
      <c r="CI412" s="26"/>
      <c r="CJ412" s="26"/>
      <c r="CK412" s="26"/>
      <c r="CL412" s="26"/>
      <c r="CM412" s="26"/>
      <c r="CN412" s="26"/>
      <c r="CO412" s="26"/>
      <c r="CP412" s="26"/>
      <c r="CQ412" s="26"/>
      <c r="CR412" s="26"/>
      <c r="CS412" s="26"/>
      <c r="CT412" s="26"/>
      <c r="CU412" s="26"/>
      <c r="CV412" s="26"/>
      <c r="CW412" s="26"/>
      <c r="CX412" s="26"/>
      <c r="CY412" s="26"/>
      <c r="CZ412" s="26"/>
      <c r="DA412" s="26"/>
      <c r="DB412" s="26"/>
      <c r="DC412" s="26"/>
      <c r="DD412" s="26"/>
    </row>
    <row r="413" spans="59:108" x14ac:dyDescent="0.2">
      <c r="BG413" s="26"/>
      <c r="BH413" s="26"/>
      <c r="BI413" s="26"/>
      <c r="BJ413" s="26"/>
      <c r="BK413" s="26"/>
      <c r="BL413" s="26"/>
      <c r="BM413" s="26"/>
      <c r="BN413" s="26"/>
      <c r="BO413" s="26"/>
      <c r="BP413" s="26"/>
      <c r="BQ413" s="26"/>
      <c r="BR413" s="26"/>
      <c r="BS413" s="26"/>
      <c r="BT413" s="26"/>
      <c r="BU413" s="26"/>
      <c r="BV413" s="26"/>
      <c r="BW413" s="26"/>
      <c r="BX413" s="26"/>
      <c r="BY413" s="26"/>
      <c r="BZ413" s="26"/>
      <c r="CA413" s="26"/>
      <c r="CB413" s="26"/>
      <c r="CC413" s="26"/>
      <c r="CD413" s="26"/>
      <c r="CE413" s="26"/>
      <c r="CF413" s="26"/>
      <c r="CG413" s="26"/>
      <c r="CH413" s="26"/>
      <c r="CI413" s="26"/>
      <c r="CJ413" s="26"/>
      <c r="CK413" s="26"/>
      <c r="CL413" s="26"/>
      <c r="CM413" s="26"/>
      <c r="CN413" s="26"/>
      <c r="CO413" s="26"/>
      <c r="CP413" s="26"/>
      <c r="CQ413" s="26"/>
      <c r="CR413" s="26"/>
      <c r="CS413" s="26"/>
      <c r="CT413" s="26"/>
      <c r="CU413" s="26"/>
      <c r="CV413" s="26"/>
      <c r="CW413" s="26"/>
      <c r="CX413" s="26"/>
      <c r="CY413" s="26"/>
      <c r="CZ413" s="26"/>
      <c r="DA413" s="26"/>
      <c r="DB413" s="26"/>
      <c r="DC413" s="26"/>
      <c r="DD413" s="26"/>
    </row>
    <row r="414" spans="59:108" x14ac:dyDescent="0.2">
      <c r="BG414" s="26"/>
      <c r="BH414" s="26"/>
      <c r="BI414" s="26"/>
      <c r="BJ414" s="26"/>
      <c r="BK414" s="26"/>
      <c r="BL414" s="26"/>
      <c r="BM414" s="26"/>
      <c r="BN414" s="26"/>
      <c r="BO414" s="26"/>
      <c r="BP414" s="26"/>
      <c r="BQ414" s="26"/>
      <c r="BR414" s="26"/>
      <c r="BS414" s="26"/>
      <c r="BT414" s="26"/>
      <c r="BU414" s="26"/>
      <c r="BV414" s="26"/>
      <c r="BW414" s="26"/>
      <c r="BX414" s="26"/>
      <c r="BY414" s="26"/>
      <c r="BZ414" s="26"/>
      <c r="CA414" s="26"/>
      <c r="CB414" s="26"/>
      <c r="CC414" s="26"/>
      <c r="CD414" s="26"/>
      <c r="CE414" s="26"/>
      <c r="CF414" s="26"/>
      <c r="CG414" s="26"/>
      <c r="CH414" s="26"/>
      <c r="CI414" s="26"/>
      <c r="CJ414" s="26"/>
      <c r="CK414" s="26"/>
      <c r="CL414" s="26"/>
      <c r="CM414" s="26"/>
      <c r="CN414" s="26"/>
      <c r="CO414" s="26"/>
      <c r="CP414" s="26"/>
      <c r="CQ414" s="26"/>
      <c r="CR414" s="26"/>
      <c r="CS414" s="26"/>
      <c r="CT414" s="26"/>
      <c r="CU414" s="26"/>
      <c r="CV414" s="26"/>
      <c r="CW414" s="26"/>
      <c r="CX414" s="26"/>
      <c r="CY414" s="26"/>
      <c r="CZ414" s="26"/>
      <c r="DA414" s="26"/>
      <c r="DB414" s="26"/>
      <c r="DC414" s="26"/>
      <c r="DD414" s="26"/>
    </row>
    <row r="415" spans="59:108" x14ac:dyDescent="0.2">
      <c r="BG415" s="26"/>
      <c r="BH415" s="26"/>
      <c r="BI415" s="26"/>
      <c r="BJ415" s="26"/>
      <c r="BK415" s="26"/>
      <c r="BL415" s="26"/>
      <c r="BM415" s="26"/>
      <c r="BN415" s="26"/>
      <c r="BO415" s="26"/>
      <c r="BP415" s="26"/>
      <c r="BQ415" s="26"/>
      <c r="BR415" s="26"/>
      <c r="BS415" s="26"/>
      <c r="BT415" s="26"/>
      <c r="BU415" s="26"/>
      <c r="BV415" s="26"/>
      <c r="BW415" s="26"/>
      <c r="BX415" s="26"/>
      <c r="BY415" s="26"/>
      <c r="BZ415" s="26"/>
      <c r="CA415" s="26"/>
      <c r="CB415" s="26"/>
      <c r="CC415" s="26"/>
      <c r="CD415" s="26"/>
      <c r="CE415" s="26"/>
      <c r="CF415" s="26"/>
      <c r="CG415" s="26"/>
      <c r="CH415" s="26"/>
      <c r="CI415" s="26"/>
      <c r="CJ415" s="26"/>
      <c r="CK415" s="26"/>
      <c r="CL415" s="26"/>
      <c r="CM415" s="26"/>
      <c r="CN415" s="26"/>
      <c r="CO415" s="26"/>
      <c r="CP415" s="26"/>
      <c r="CQ415" s="26"/>
      <c r="CR415" s="26"/>
      <c r="CS415" s="26"/>
      <c r="CT415" s="26"/>
      <c r="CU415" s="26"/>
      <c r="CV415" s="26"/>
      <c r="CW415" s="26"/>
      <c r="CX415" s="26"/>
      <c r="CY415" s="26"/>
      <c r="CZ415" s="26"/>
      <c r="DA415" s="26"/>
      <c r="DB415" s="26"/>
      <c r="DC415" s="26"/>
      <c r="DD415" s="26"/>
    </row>
    <row r="416" spans="59:108" x14ac:dyDescent="0.2">
      <c r="BG416" s="26"/>
      <c r="BH416" s="26"/>
      <c r="BI416" s="26"/>
      <c r="BJ416" s="26"/>
      <c r="BK416" s="26"/>
      <c r="BL416" s="26"/>
      <c r="BM416" s="26"/>
      <c r="BN416" s="26"/>
      <c r="BO416" s="26"/>
      <c r="BP416" s="26"/>
      <c r="BQ416" s="26"/>
      <c r="BR416" s="26"/>
      <c r="BS416" s="26"/>
      <c r="BT416" s="26"/>
      <c r="BU416" s="26"/>
      <c r="BV416" s="26"/>
      <c r="BW416" s="26"/>
      <c r="BX416" s="26"/>
      <c r="BY416" s="26"/>
      <c r="BZ416" s="26"/>
      <c r="CA416" s="26"/>
      <c r="CB416" s="26"/>
      <c r="CC416" s="26"/>
      <c r="CD416" s="26"/>
      <c r="CE416" s="26"/>
      <c r="CF416" s="26"/>
      <c r="CG416" s="26"/>
      <c r="CH416" s="26"/>
      <c r="CI416" s="26"/>
      <c r="CJ416" s="26"/>
      <c r="CK416" s="26"/>
      <c r="CL416" s="26"/>
      <c r="CM416" s="26"/>
      <c r="CN416" s="26"/>
      <c r="CO416" s="26"/>
      <c r="CP416" s="26"/>
      <c r="CQ416" s="26"/>
      <c r="CR416" s="26"/>
      <c r="CS416" s="26"/>
      <c r="CT416" s="26"/>
      <c r="CU416" s="26"/>
      <c r="CV416" s="26"/>
      <c r="CW416" s="26"/>
      <c r="CX416" s="26"/>
      <c r="CY416" s="26"/>
      <c r="CZ416" s="26"/>
      <c r="DA416" s="26"/>
      <c r="DB416" s="26"/>
      <c r="DC416" s="26"/>
      <c r="DD416" s="26"/>
    </row>
    <row r="417" spans="59:108" x14ac:dyDescent="0.2">
      <c r="BG417" s="26"/>
      <c r="BH417" s="26"/>
      <c r="BI417" s="26"/>
      <c r="BJ417" s="26"/>
      <c r="BK417" s="26"/>
      <c r="BL417" s="26"/>
      <c r="BM417" s="26"/>
      <c r="BN417" s="26"/>
      <c r="BO417" s="26"/>
      <c r="BP417" s="26"/>
      <c r="BQ417" s="26"/>
      <c r="BR417" s="26"/>
      <c r="BS417" s="26"/>
      <c r="BT417" s="26"/>
      <c r="BU417" s="26"/>
      <c r="BV417" s="26"/>
      <c r="BW417" s="26"/>
      <c r="BX417" s="26"/>
      <c r="BY417" s="26"/>
      <c r="BZ417" s="26"/>
      <c r="CA417" s="26"/>
      <c r="CB417" s="26"/>
      <c r="CC417" s="26"/>
      <c r="CD417" s="26"/>
      <c r="CE417" s="26"/>
      <c r="CF417" s="26"/>
      <c r="CG417" s="26"/>
      <c r="CH417" s="26"/>
      <c r="CI417" s="26"/>
      <c r="CJ417" s="26"/>
      <c r="CK417" s="26"/>
      <c r="CL417" s="26"/>
      <c r="CM417" s="26"/>
      <c r="CN417" s="26"/>
      <c r="CO417" s="26"/>
      <c r="CP417" s="26"/>
      <c r="CQ417" s="26"/>
      <c r="CR417" s="26"/>
      <c r="CS417" s="26"/>
      <c r="CT417" s="26"/>
      <c r="CU417" s="26"/>
      <c r="CV417" s="26"/>
      <c r="CW417" s="26"/>
      <c r="CX417" s="26"/>
      <c r="CY417" s="26"/>
      <c r="CZ417" s="26"/>
      <c r="DA417" s="26"/>
      <c r="DB417" s="26"/>
      <c r="DC417" s="26"/>
      <c r="DD417" s="26"/>
    </row>
    <row r="418" spans="59:108" x14ac:dyDescent="0.2">
      <c r="BG418" s="26"/>
      <c r="BH418" s="26"/>
      <c r="BI418" s="26"/>
      <c r="BJ418" s="26"/>
      <c r="BK418" s="26"/>
      <c r="BL418" s="26"/>
      <c r="BM418" s="26"/>
      <c r="BN418" s="26"/>
      <c r="BO418" s="26"/>
      <c r="BP418" s="26"/>
      <c r="BQ418" s="26"/>
      <c r="BR418" s="26"/>
      <c r="BS418" s="26"/>
      <c r="BT418" s="26"/>
      <c r="BU418" s="26"/>
      <c r="BV418" s="26"/>
      <c r="BW418" s="26"/>
      <c r="BX418" s="26"/>
      <c r="BY418" s="26"/>
      <c r="BZ418" s="26"/>
      <c r="CA418" s="26"/>
      <c r="CB418" s="26"/>
      <c r="CC418" s="26"/>
      <c r="CD418" s="26"/>
      <c r="CE418" s="26"/>
      <c r="CF418" s="26"/>
      <c r="CG418" s="26"/>
      <c r="CH418" s="26"/>
      <c r="CI418" s="26"/>
      <c r="CJ418" s="26"/>
      <c r="CK418" s="26"/>
      <c r="CL418" s="26"/>
      <c r="CM418" s="26"/>
      <c r="CN418" s="26"/>
      <c r="CO418" s="26"/>
      <c r="CP418" s="26"/>
      <c r="CQ418" s="26"/>
      <c r="CR418" s="26"/>
      <c r="CS418" s="26"/>
      <c r="CT418" s="26"/>
      <c r="CU418" s="26"/>
      <c r="CV418" s="26"/>
      <c r="CW418" s="26"/>
      <c r="CX418" s="26"/>
      <c r="CY418" s="26"/>
      <c r="CZ418" s="26"/>
      <c r="DA418" s="26"/>
      <c r="DB418" s="26"/>
      <c r="DC418" s="26"/>
      <c r="DD418" s="26"/>
    </row>
    <row r="419" spans="59:108" x14ac:dyDescent="0.2">
      <c r="BG419" s="26"/>
      <c r="BH419" s="26"/>
      <c r="BI419" s="26"/>
      <c r="BJ419" s="26"/>
      <c r="BK419" s="26"/>
      <c r="BL419" s="26"/>
      <c r="BM419" s="26"/>
      <c r="BN419" s="26"/>
      <c r="BO419" s="26"/>
      <c r="BP419" s="26"/>
      <c r="BQ419" s="26"/>
      <c r="BR419" s="26"/>
      <c r="BS419" s="26"/>
      <c r="BT419" s="26"/>
      <c r="BU419" s="26"/>
      <c r="BV419" s="26"/>
      <c r="BW419" s="26"/>
      <c r="BX419" s="26"/>
      <c r="BY419" s="26"/>
      <c r="BZ419" s="26"/>
      <c r="CA419" s="26"/>
      <c r="CB419" s="26"/>
      <c r="CC419" s="26"/>
      <c r="CD419" s="26"/>
      <c r="CE419" s="26"/>
      <c r="CF419" s="26"/>
      <c r="CG419" s="26"/>
      <c r="CH419" s="26"/>
      <c r="CI419" s="26"/>
      <c r="CJ419" s="26"/>
      <c r="CK419" s="26"/>
      <c r="CL419" s="26"/>
      <c r="CM419" s="26"/>
      <c r="CN419" s="26"/>
      <c r="CO419" s="26"/>
      <c r="CP419" s="26"/>
      <c r="CQ419" s="26"/>
      <c r="CR419" s="26"/>
      <c r="CS419" s="26"/>
      <c r="CT419" s="26"/>
      <c r="CU419" s="26"/>
      <c r="CV419" s="26"/>
      <c r="CW419" s="26"/>
      <c r="CX419" s="26"/>
      <c r="CY419" s="26"/>
      <c r="CZ419" s="26"/>
      <c r="DA419" s="26"/>
      <c r="DB419" s="26"/>
      <c r="DC419" s="26"/>
      <c r="DD419" s="26"/>
    </row>
    <row r="420" spans="59:108" x14ac:dyDescent="0.2">
      <c r="BG420" s="26"/>
      <c r="BH420" s="26"/>
      <c r="BI420" s="26"/>
      <c r="BJ420" s="26"/>
      <c r="BK420" s="26"/>
      <c r="BL420" s="26"/>
      <c r="BM420" s="26"/>
      <c r="BN420" s="26"/>
      <c r="BO420" s="26"/>
      <c r="BP420" s="26"/>
      <c r="BQ420" s="26"/>
      <c r="BR420" s="26"/>
      <c r="BS420" s="26"/>
      <c r="BT420" s="26"/>
      <c r="BU420" s="26"/>
      <c r="BV420" s="26"/>
      <c r="BW420" s="26"/>
      <c r="BX420" s="26"/>
      <c r="BY420" s="26"/>
      <c r="BZ420" s="26"/>
      <c r="CA420" s="26"/>
      <c r="CB420" s="26"/>
      <c r="CC420" s="26"/>
      <c r="CD420" s="26"/>
      <c r="CE420" s="26"/>
      <c r="CF420" s="26"/>
      <c r="CG420" s="26"/>
      <c r="CH420" s="26"/>
      <c r="CI420" s="26"/>
      <c r="CJ420" s="26"/>
      <c r="CK420" s="26"/>
      <c r="CL420" s="26"/>
      <c r="CM420" s="26"/>
      <c r="CN420" s="26"/>
      <c r="CO420" s="26"/>
      <c r="CP420" s="26"/>
      <c r="CQ420" s="26"/>
      <c r="CR420" s="26"/>
      <c r="CS420" s="26"/>
      <c r="CT420" s="26"/>
      <c r="CU420" s="26"/>
      <c r="CV420" s="26"/>
      <c r="CW420" s="26"/>
      <c r="CX420" s="26"/>
      <c r="CY420" s="26"/>
      <c r="CZ420" s="26"/>
      <c r="DA420" s="26"/>
      <c r="DB420" s="26"/>
      <c r="DC420" s="26"/>
      <c r="DD420" s="26"/>
    </row>
    <row r="421" spans="59:108" x14ac:dyDescent="0.2">
      <c r="BG421" s="26"/>
      <c r="BH421" s="26"/>
      <c r="BI421" s="26"/>
      <c r="BJ421" s="26"/>
      <c r="BK421" s="26"/>
      <c r="BL421" s="26"/>
      <c r="BM421" s="26"/>
      <c r="BN421" s="26"/>
      <c r="BO421" s="26"/>
      <c r="BP421" s="26"/>
      <c r="BQ421" s="26"/>
      <c r="BR421" s="26"/>
      <c r="BS421" s="26"/>
      <c r="BT421" s="26"/>
      <c r="BU421" s="26"/>
      <c r="BV421" s="26"/>
      <c r="BW421" s="26"/>
      <c r="BX421" s="26"/>
      <c r="BY421" s="26"/>
      <c r="BZ421" s="26"/>
      <c r="CA421" s="26"/>
      <c r="CB421" s="26"/>
      <c r="CC421" s="26"/>
      <c r="CD421" s="26"/>
      <c r="CE421" s="26"/>
      <c r="CF421" s="26"/>
      <c r="CG421" s="26"/>
      <c r="CH421" s="26"/>
      <c r="CI421" s="26"/>
      <c r="CJ421" s="26"/>
      <c r="CK421" s="26"/>
      <c r="CL421" s="26"/>
      <c r="CM421" s="26"/>
      <c r="CN421" s="26"/>
      <c r="CO421" s="26"/>
      <c r="CP421" s="26"/>
      <c r="CQ421" s="26"/>
      <c r="CR421" s="26"/>
      <c r="CS421" s="26"/>
      <c r="CT421" s="26"/>
      <c r="CU421" s="26"/>
      <c r="CV421" s="26"/>
      <c r="CW421" s="26"/>
      <c r="CX421" s="26"/>
      <c r="CY421" s="26"/>
      <c r="CZ421" s="26"/>
      <c r="DA421" s="26"/>
      <c r="DB421" s="26"/>
      <c r="DC421" s="26"/>
      <c r="DD421" s="26"/>
    </row>
    <row r="422" spans="59:108" x14ac:dyDescent="0.2">
      <c r="BG422" s="26"/>
      <c r="BH422" s="26"/>
      <c r="BI422" s="26"/>
      <c r="BJ422" s="26"/>
      <c r="BK422" s="26"/>
      <c r="BL422" s="26"/>
      <c r="BM422" s="26"/>
      <c r="BN422" s="26"/>
      <c r="BO422" s="26"/>
      <c r="BP422" s="26"/>
      <c r="BQ422" s="26"/>
      <c r="BR422" s="26"/>
      <c r="BS422" s="26"/>
      <c r="BT422" s="26"/>
      <c r="BU422" s="26"/>
      <c r="BV422" s="26"/>
      <c r="BW422" s="26"/>
      <c r="BX422" s="26"/>
      <c r="BY422" s="26"/>
      <c r="BZ422" s="26"/>
      <c r="CA422" s="26"/>
      <c r="CB422" s="26"/>
      <c r="CC422" s="26"/>
      <c r="CD422" s="26"/>
      <c r="CE422" s="26"/>
      <c r="CF422" s="26"/>
      <c r="CG422" s="26"/>
      <c r="CH422" s="26"/>
      <c r="CI422" s="26"/>
      <c r="CJ422" s="26"/>
      <c r="CK422" s="26"/>
      <c r="CL422" s="26"/>
      <c r="CM422" s="26"/>
      <c r="CN422" s="26"/>
      <c r="CO422" s="26"/>
      <c r="CP422" s="26"/>
      <c r="CQ422" s="26"/>
      <c r="CR422" s="26"/>
      <c r="CS422" s="26"/>
      <c r="CT422" s="26"/>
      <c r="CU422" s="26"/>
      <c r="CV422" s="26"/>
      <c r="CW422" s="26"/>
      <c r="CX422" s="26"/>
      <c r="CY422" s="26"/>
      <c r="CZ422" s="26"/>
      <c r="DA422" s="26"/>
      <c r="DB422" s="26"/>
      <c r="DC422" s="26"/>
      <c r="DD422" s="26"/>
    </row>
    <row r="423" spans="59:108" x14ac:dyDescent="0.2">
      <c r="BG423" s="26"/>
      <c r="BH423" s="26"/>
      <c r="BI423" s="26"/>
      <c r="BJ423" s="26"/>
      <c r="BK423" s="26"/>
      <c r="BL423" s="26"/>
      <c r="BM423" s="26"/>
      <c r="BN423" s="26"/>
      <c r="BO423" s="26"/>
      <c r="BP423" s="26"/>
      <c r="BQ423" s="26"/>
      <c r="BR423" s="26"/>
      <c r="BS423" s="26"/>
      <c r="BT423" s="26"/>
      <c r="BU423" s="26"/>
      <c r="BV423" s="26"/>
      <c r="BW423" s="26"/>
      <c r="BX423" s="26"/>
      <c r="BY423" s="26"/>
      <c r="BZ423" s="26"/>
      <c r="CA423" s="26"/>
      <c r="CB423" s="26"/>
      <c r="CC423" s="26"/>
      <c r="CD423" s="26"/>
      <c r="CE423" s="26"/>
      <c r="CF423" s="26"/>
      <c r="CG423" s="26"/>
      <c r="CH423" s="26"/>
      <c r="CI423" s="26"/>
      <c r="CJ423" s="26"/>
      <c r="CK423" s="26"/>
      <c r="CL423" s="26"/>
      <c r="CM423" s="26"/>
      <c r="CN423" s="26"/>
      <c r="CO423" s="26"/>
      <c r="CP423" s="26"/>
      <c r="CQ423" s="26"/>
      <c r="CR423" s="26"/>
      <c r="CS423" s="26"/>
      <c r="CT423" s="26"/>
      <c r="CU423" s="26"/>
      <c r="CV423" s="26"/>
      <c r="CW423" s="26"/>
      <c r="CX423" s="26"/>
      <c r="CY423" s="26"/>
      <c r="CZ423" s="26"/>
      <c r="DA423" s="26"/>
      <c r="DB423" s="26"/>
      <c r="DC423" s="26"/>
      <c r="DD423" s="26"/>
    </row>
    <row r="424" spans="59:108" x14ac:dyDescent="0.2">
      <c r="BG424" s="26"/>
      <c r="BH424" s="26"/>
      <c r="BI424" s="26"/>
      <c r="BJ424" s="26"/>
      <c r="BK424" s="26"/>
      <c r="BL424" s="26"/>
      <c r="BM424" s="26"/>
      <c r="BN424" s="26"/>
      <c r="BO424" s="26"/>
      <c r="BP424" s="26"/>
      <c r="BQ424" s="26"/>
      <c r="BR424" s="26"/>
      <c r="BS424" s="26"/>
      <c r="BT424" s="26"/>
      <c r="BU424" s="26"/>
      <c r="BV424" s="26"/>
      <c r="BW424" s="26"/>
      <c r="BX424" s="26"/>
      <c r="BY424" s="26"/>
      <c r="BZ424" s="26"/>
      <c r="CA424" s="26"/>
      <c r="CB424" s="26"/>
      <c r="CC424" s="26"/>
      <c r="CD424" s="26"/>
      <c r="CE424" s="26"/>
      <c r="CF424" s="26"/>
      <c r="CG424" s="26"/>
      <c r="CH424" s="26"/>
      <c r="CI424" s="26"/>
      <c r="CJ424" s="26"/>
      <c r="CK424" s="26"/>
      <c r="CL424" s="26"/>
      <c r="CM424" s="26"/>
      <c r="CN424" s="26"/>
      <c r="CO424" s="26"/>
      <c r="CP424" s="26"/>
      <c r="CQ424" s="26"/>
      <c r="CR424" s="26"/>
      <c r="CS424" s="26"/>
      <c r="CT424" s="26"/>
      <c r="CU424" s="26"/>
      <c r="CV424" s="26"/>
      <c r="CW424" s="26"/>
      <c r="CX424" s="26"/>
      <c r="CY424" s="26"/>
      <c r="CZ424" s="26"/>
      <c r="DA424" s="26"/>
      <c r="DB424" s="26"/>
      <c r="DC424" s="26"/>
      <c r="DD424" s="26"/>
    </row>
    <row r="425" spans="59:108" x14ac:dyDescent="0.2">
      <c r="BG425" s="26"/>
      <c r="BH425" s="26"/>
      <c r="BI425" s="26"/>
      <c r="BJ425" s="26"/>
      <c r="BK425" s="26"/>
      <c r="BL425" s="26"/>
      <c r="BM425" s="26"/>
      <c r="BN425" s="26"/>
      <c r="BO425" s="26"/>
      <c r="BP425" s="26"/>
      <c r="BQ425" s="26"/>
      <c r="BR425" s="26"/>
      <c r="BS425" s="26"/>
      <c r="BT425" s="26"/>
      <c r="BU425" s="26"/>
      <c r="BV425" s="26"/>
      <c r="BW425" s="26"/>
      <c r="BX425" s="26"/>
      <c r="BY425" s="26"/>
      <c r="BZ425" s="26"/>
      <c r="CA425" s="26"/>
      <c r="CB425" s="26"/>
      <c r="CC425" s="26"/>
      <c r="CD425" s="26"/>
      <c r="CE425" s="26"/>
      <c r="CF425" s="26"/>
      <c r="CG425" s="26"/>
      <c r="CH425" s="26"/>
      <c r="CI425" s="26"/>
      <c r="CJ425" s="26"/>
      <c r="CK425" s="26"/>
      <c r="CL425" s="26"/>
      <c r="CM425" s="26"/>
      <c r="CN425" s="26"/>
      <c r="CO425" s="26"/>
      <c r="CP425" s="26"/>
      <c r="CQ425" s="26"/>
      <c r="CR425" s="26"/>
      <c r="CS425" s="26"/>
      <c r="CT425" s="26"/>
      <c r="CU425" s="26"/>
      <c r="CV425" s="26"/>
      <c r="CW425" s="26"/>
      <c r="CX425" s="26"/>
      <c r="CY425" s="26"/>
      <c r="CZ425" s="26"/>
      <c r="DA425" s="26"/>
      <c r="DB425" s="26"/>
      <c r="DC425" s="26"/>
      <c r="DD425" s="26"/>
    </row>
    <row r="426" spans="59:108" x14ac:dyDescent="0.2">
      <c r="BG426" s="26"/>
      <c r="BH426" s="26"/>
      <c r="BI426" s="26"/>
      <c r="BJ426" s="26"/>
      <c r="BK426" s="26"/>
      <c r="BL426" s="26"/>
      <c r="BM426" s="26"/>
      <c r="BN426" s="26"/>
      <c r="BO426" s="26"/>
      <c r="BP426" s="26"/>
      <c r="BQ426" s="26"/>
      <c r="BR426" s="26"/>
      <c r="BS426" s="26"/>
      <c r="BT426" s="26"/>
      <c r="BU426" s="26"/>
      <c r="BV426" s="26"/>
      <c r="BW426" s="26"/>
      <c r="BX426" s="26"/>
      <c r="BY426" s="26"/>
      <c r="BZ426" s="26"/>
      <c r="CA426" s="26"/>
      <c r="CB426" s="26"/>
      <c r="CC426" s="26"/>
      <c r="CD426" s="26"/>
      <c r="CE426" s="26"/>
      <c r="CF426" s="26"/>
      <c r="CG426" s="26"/>
      <c r="CH426" s="26"/>
      <c r="CI426" s="26"/>
      <c r="CJ426" s="26"/>
      <c r="CK426" s="26"/>
      <c r="CL426" s="26"/>
      <c r="CM426" s="26"/>
      <c r="CN426" s="26"/>
      <c r="CO426" s="26"/>
      <c r="CP426" s="26"/>
      <c r="CQ426" s="26"/>
      <c r="CR426" s="26"/>
      <c r="CS426" s="26"/>
      <c r="CT426" s="26"/>
      <c r="CU426" s="26"/>
      <c r="CV426" s="26"/>
      <c r="CW426" s="26"/>
      <c r="CX426" s="26"/>
      <c r="CY426" s="26"/>
      <c r="CZ426" s="26"/>
      <c r="DA426" s="26"/>
      <c r="DB426" s="26"/>
      <c r="DC426" s="26"/>
      <c r="DD426" s="26"/>
    </row>
    <row r="427" spans="59:108" x14ac:dyDescent="0.2">
      <c r="BG427" s="26"/>
      <c r="BH427" s="26"/>
      <c r="BI427" s="26"/>
      <c r="BJ427" s="26"/>
      <c r="BK427" s="26"/>
      <c r="BL427" s="26"/>
      <c r="BM427" s="26"/>
      <c r="BN427" s="26"/>
      <c r="BO427" s="26"/>
      <c r="BP427" s="26"/>
      <c r="BQ427" s="26"/>
      <c r="BR427" s="26"/>
      <c r="BS427" s="26"/>
      <c r="BT427" s="26"/>
      <c r="BU427" s="26"/>
      <c r="BV427" s="26"/>
      <c r="BW427" s="26"/>
      <c r="BX427" s="26"/>
      <c r="BY427" s="26"/>
      <c r="BZ427" s="26"/>
      <c r="CA427" s="26"/>
      <c r="CB427" s="26"/>
      <c r="CC427" s="26"/>
      <c r="CD427" s="26"/>
      <c r="CE427" s="26"/>
      <c r="CF427" s="26"/>
      <c r="CG427" s="26"/>
      <c r="CH427" s="26"/>
      <c r="CI427" s="26"/>
      <c r="CJ427" s="26"/>
      <c r="CK427" s="26"/>
      <c r="CL427" s="26"/>
      <c r="CM427" s="26"/>
      <c r="CN427" s="26"/>
      <c r="CO427" s="26"/>
      <c r="CP427" s="26"/>
      <c r="CQ427" s="26"/>
      <c r="CR427" s="26"/>
      <c r="CS427" s="26"/>
      <c r="CT427" s="26"/>
      <c r="CU427" s="26"/>
      <c r="CV427" s="26"/>
      <c r="CW427" s="26"/>
      <c r="CX427" s="26"/>
      <c r="CY427" s="26"/>
      <c r="CZ427" s="26"/>
      <c r="DA427" s="26"/>
      <c r="DB427" s="26"/>
      <c r="DC427" s="26"/>
      <c r="DD427" s="26"/>
    </row>
    <row r="428" spans="59:108" x14ac:dyDescent="0.2">
      <c r="BG428" s="26"/>
      <c r="BH428" s="26"/>
      <c r="BI428" s="26"/>
      <c r="BJ428" s="26"/>
      <c r="BK428" s="26"/>
      <c r="BL428" s="26"/>
      <c r="BM428" s="26"/>
      <c r="BN428" s="26"/>
      <c r="BO428" s="26"/>
      <c r="BP428" s="26"/>
      <c r="BQ428" s="26"/>
      <c r="BR428" s="26"/>
      <c r="BS428" s="26"/>
      <c r="BT428" s="26"/>
      <c r="BU428" s="26"/>
      <c r="BV428" s="26"/>
      <c r="BW428" s="26"/>
      <c r="BX428" s="26"/>
      <c r="BY428" s="26"/>
      <c r="BZ428" s="26"/>
      <c r="CA428" s="26"/>
      <c r="CB428" s="26"/>
      <c r="CC428" s="26"/>
      <c r="CD428" s="26"/>
      <c r="CE428" s="26"/>
      <c r="CF428" s="26"/>
      <c r="CG428" s="26"/>
      <c r="CH428" s="26"/>
      <c r="CI428" s="26"/>
      <c r="CJ428" s="26"/>
      <c r="CK428" s="26"/>
      <c r="CL428" s="26"/>
      <c r="CM428" s="26"/>
      <c r="CN428" s="26"/>
      <c r="CO428" s="26"/>
      <c r="CP428" s="26"/>
      <c r="CQ428" s="26"/>
      <c r="CR428" s="26"/>
      <c r="CS428" s="26"/>
      <c r="CT428" s="26"/>
      <c r="CU428" s="26"/>
      <c r="CV428" s="26"/>
      <c r="CW428" s="26"/>
      <c r="CX428" s="26"/>
      <c r="CY428" s="26"/>
      <c r="CZ428" s="26"/>
      <c r="DA428" s="26"/>
      <c r="DB428" s="26"/>
      <c r="DC428" s="26"/>
      <c r="DD428" s="26"/>
    </row>
    <row r="429" spans="59:108" x14ac:dyDescent="0.2">
      <c r="BG429" s="26"/>
      <c r="BH429" s="26"/>
      <c r="BI429" s="26"/>
      <c r="BJ429" s="26"/>
      <c r="BK429" s="26"/>
      <c r="BL429" s="26"/>
      <c r="BM429" s="26"/>
      <c r="BN429" s="26"/>
      <c r="BO429" s="26"/>
      <c r="BP429" s="26"/>
      <c r="BQ429" s="26"/>
      <c r="BR429" s="26"/>
      <c r="BS429" s="26"/>
      <c r="BT429" s="26"/>
      <c r="BU429" s="26"/>
      <c r="BV429" s="26"/>
      <c r="BW429" s="26"/>
      <c r="BX429" s="26"/>
      <c r="BY429" s="26"/>
      <c r="BZ429" s="26"/>
      <c r="CA429" s="26"/>
      <c r="CB429" s="26"/>
      <c r="CC429" s="26"/>
      <c r="CD429" s="26"/>
      <c r="CE429" s="26"/>
      <c r="CF429" s="26"/>
      <c r="CG429" s="26"/>
      <c r="CH429" s="26"/>
      <c r="CI429" s="26"/>
      <c r="CJ429" s="26"/>
      <c r="CK429" s="26"/>
      <c r="CL429" s="26"/>
      <c r="CM429" s="26"/>
      <c r="CN429" s="26"/>
      <c r="CO429" s="26"/>
      <c r="CP429" s="26"/>
      <c r="CQ429" s="26"/>
      <c r="CR429" s="26"/>
      <c r="CS429" s="26"/>
      <c r="CT429" s="26"/>
      <c r="CU429" s="26"/>
      <c r="CV429" s="26"/>
      <c r="CW429" s="26"/>
      <c r="CX429" s="26"/>
      <c r="CY429" s="26"/>
      <c r="CZ429" s="26"/>
      <c r="DA429" s="26"/>
      <c r="DB429" s="26"/>
      <c r="DC429" s="26"/>
      <c r="DD429" s="26"/>
    </row>
    <row r="430" spans="59:108" x14ac:dyDescent="0.2">
      <c r="BG430" s="26"/>
      <c r="BH430" s="26"/>
      <c r="BI430" s="26"/>
      <c r="BJ430" s="26"/>
      <c r="BK430" s="26"/>
      <c r="BL430" s="26"/>
      <c r="BM430" s="26"/>
      <c r="BN430" s="26"/>
      <c r="BO430" s="26"/>
      <c r="BP430" s="26"/>
      <c r="BQ430" s="26"/>
      <c r="BR430" s="26"/>
      <c r="BS430" s="26"/>
      <c r="BT430" s="26"/>
      <c r="BU430" s="26"/>
      <c r="BV430" s="26"/>
      <c r="BW430" s="26"/>
      <c r="BX430" s="26"/>
      <c r="BY430" s="26"/>
      <c r="BZ430" s="26"/>
      <c r="CA430" s="26"/>
      <c r="CB430" s="26"/>
      <c r="CC430" s="26"/>
      <c r="CD430" s="26"/>
      <c r="CE430" s="26"/>
      <c r="CF430" s="26"/>
      <c r="CG430" s="26"/>
      <c r="CH430" s="26"/>
      <c r="CI430" s="26"/>
      <c r="CJ430" s="26"/>
      <c r="CK430" s="26"/>
      <c r="CL430" s="26"/>
      <c r="CM430" s="26"/>
      <c r="CN430" s="26"/>
      <c r="CO430" s="26"/>
      <c r="CP430" s="26"/>
      <c r="CQ430" s="26"/>
      <c r="CR430" s="26"/>
      <c r="CS430" s="26"/>
      <c r="CT430" s="26"/>
      <c r="CU430" s="26"/>
      <c r="CV430" s="26"/>
      <c r="CW430" s="26"/>
      <c r="CX430" s="26"/>
      <c r="CY430" s="26"/>
      <c r="CZ430" s="26"/>
      <c r="DA430" s="26"/>
      <c r="DB430" s="26"/>
      <c r="DC430" s="26"/>
      <c r="DD430" s="26"/>
    </row>
    <row r="431" spans="59:108" x14ac:dyDescent="0.2">
      <c r="BG431" s="26"/>
      <c r="BH431" s="26"/>
      <c r="BI431" s="26"/>
      <c r="BJ431" s="26"/>
      <c r="BK431" s="26"/>
      <c r="BL431" s="26"/>
      <c r="BM431" s="26"/>
      <c r="BN431" s="26"/>
      <c r="BO431" s="26"/>
      <c r="BP431" s="26"/>
      <c r="BQ431" s="26"/>
      <c r="BR431" s="26"/>
      <c r="BS431" s="26"/>
      <c r="BT431" s="26"/>
      <c r="BU431" s="26"/>
      <c r="BV431" s="26"/>
      <c r="BW431" s="26"/>
      <c r="BX431" s="26"/>
      <c r="BY431" s="26"/>
      <c r="BZ431" s="26"/>
      <c r="CA431" s="26"/>
      <c r="CB431" s="26"/>
      <c r="CC431" s="26"/>
      <c r="CD431" s="26"/>
      <c r="CE431" s="26"/>
      <c r="CF431" s="26"/>
      <c r="CG431" s="26"/>
      <c r="CH431" s="26"/>
      <c r="CI431" s="26"/>
      <c r="CJ431" s="26"/>
      <c r="CK431" s="26"/>
      <c r="CL431" s="26"/>
      <c r="CM431" s="26"/>
      <c r="CN431" s="26"/>
      <c r="CO431" s="26"/>
      <c r="CP431" s="26"/>
      <c r="CQ431" s="26"/>
      <c r="CR431" s="26"/>
      <c r="CS431" s="26"/>
      <c r="CT431" s="26"/>
      <c r="CU431" s="26"/>
      <c r="CV431" s="26"/>
      <c r="CW431" s="26"/>
      <c r="CX431" s="26"/>
      <c r="CY431" s="26"/>
      <c r="CZ431" s="26"/>
      <c r="DA431" s="26"/>
      <c r="DB431" s="26"/>
      <c r="DC431" s="26"/>
      <c r="DD431" s="26"/>
    </row>
    <row r="432" spans="59:108" x14ac:dyDescent="0.2">
      <c r="BG432" s="26"/>
      <c r="BH432" s="26"/>
      <c r="BI432" s="26"/>
      <c r="BJ432" s="26"/>
      <c r="BK432" s="26"/>
      <c r="BL432" s="26"/>
      <c r="BM432" s="26"/>
      <c r="BN432" s="26"/>
      <c r="BO432" s="26"/>
      <c r="BP432" s="26"/>
      <c r="BQ432" s="26"/>
      <c r="BR432" s="26"/>
      <c r="BS432" s="26"/>
      <c r="BT432" s="26"/>
      <c r="BU432" s="26"/>
      <c r="BV432" s="26"/>
      <c r="BW432" s="26"/>
      <c r="BX432" s="26"/>
      <c r="BY432" s="26"/>
      <c r="BZ432" s="26"/>
      <c r="CA432" s="26"/>
      <c r="CB432" s="26"/>
      <c r="CC432" s="26"/>
      <c r="CD432" s="26"/>
      <c r="CE432" s="26"/>
      <c r="CF432" s="26"/>
      <c r="CG432" s="26"/>
      <c r="CH432" s="26"/>
      <c r="CI432" s="26"/>
      <c r="CJ432" s="26"/>
      <c r="CK432" s="26"/>
      <c r="CL432" s="26"/>
      <c r="CM432" s="26"/>
      <c r="CN432" s="26"/>
      <c r="CO432" s="26"/>
      <c r="CP432" s="26"/>
      <c r="CQ432" s="26"/>
      <c r="CR432" s="26"/>
      <c r="CS432" s="26"/>
      <c r="CT432" s="26"/>
      <c r="CU432" s="26"/>
      <c r="CV432" s="26"/>
      <c r="CW432" s="26"/>
      <c r="CX432" s="26"/>
      <c r="CY432" s="26"/>
      <c r="CZ432" s="26"/>
      <c r="DA432" s="26"/>
      <c r="DB432" s="26"/>
      <c r="DC432" s="26"/>
      <c r="DD432" s="26"/>
    </row>
    <row r="433" spans="59:108" x14ac:dyDescent="0.2">
      <c r="BG433" s="26"/>
      <c r="BH433" s="26"/>
      <c r="BI433" s="26"/>
      <c r="BJ433" s="26"/>
      <c r="BK433" s="26"/>
      <c r="BL433" s="26"/>
      <c r="BM433" s="26"/>
      <c r="BN433" s="26"/>
      <c r="BO433" s="26"/>
      <c r="BP433" s="26"/>
      <c r="BQ433" s="26"/>
      <c r="BR433" s="26"/>
      <c r="BS433" s="26"/>
      <c r="BT433" s="26"/>
      <c r="BU433" s="26"/>
      <c r="BV433" s="26"/>
      <c r="BW433" s="26"/>
      <c r="BX433" s="26"/>
      <c r="BY433" s="26"/>
      <c r="BZ433" s="26"/>
      <c r="CA433" s="26"/>
      <c r="CB433" s="26"/>
      <c r="CC433" s="26"/>
      <c r="CD433" s="26"/>
      <c r="CE433" s="26"/>
      <c r="CF433" s="26"/>
      <c r="CG433" s="26"/>
      <c r="CH433" s="26"/>
      <c r="CI433" s="26"/>
      <c r="CJ433" s="26"/>
      <c r="CK433" s="26"/>
      <c r="CL433" s="26"/>
      <c r="CM433" s="26"/>
      <c r="CN433" s="26"/>
      <c r="CO433" s="26"/>
      <c r="CP433" s="26"/>
      <c r="CQ433" s="26"/>
      <c r="CR433" s="26"/>
      <c r="CS433" s="26"/>
      <c r="CT433" s="26"/>
      <c r="CU433" s="26"/>
      <c r="CV433" s="26"/>
      <c r="CW433" s="26"/>
      <c r="CX433" s="26"/>
      <c r="CY433" s="26"/>
      <c r="CZ433" s="26"/>
      <c r="DA433" s="26"/>
      <c r="DB433" s="26"/>
      <c r="DC433" s="26"/>
      <c r="DD433" s="26"/>
    </row>
    <row r="434" spans="59:108" x14ac:dyDescent="0.2">
      <c r="BG434" s="26"/>
      <c r="BH434" s="26"/>
      <c r="BI434" s="26"/>
      <c r="BJ434" s="26"/>
      <c r="BK434" s="26"/>
      <c r="BL434" s="26"/>
      <c r="BM434" s="26"/>
      <c r="BN434" s="26"/>
      <c r="BO434" s="26"/>
      <c r="BP434" s="26"/>
      <c r="BQ434" s="26"/>
      <c r="BR434" s="26"/>
      <c r="BS434" s="26"/>
      <c r="BT434" s="26"/>
      <c r="BU434" s="26"/>
      <c r="BV434" s="26"/>
      <c r="BW434" s="26"/>
      <c r="BX434" s="26"/>
      <c r="BY434" s="26"/>
      <c r="BZ434" s="26"/>
      <c r="CA434" s="26"/>
      <c r="CB434" s="26"/>
      <c r="CC434" s="26"/>
      <c r="CD434" s="26"/>
      <c r="CE434" s="26"/>
      <c r="CF434" s="26"/>
      <c r="CG434" s="26"/>
      <c r="CH434" s="26"/>
      <c r="CI434" s="26"/>
      <c r="CJ434" s="26"/>
      <c r="CK434" s="26"/>
      <c r="CL434" s="26"/>
      <c r="CM434" s="26"/>
      <c r="CN434" s="26"/>
      <c r="CO434" s="26"/>
      <c r="CP434" s="26"/>
      <c r="CQ434" s="26"/>
      <c r="CR434" s="26"/>
      <c r="CS434" s="26"/>
      <c r="CT434" s="26"/>
      <c r="CU434" s="26"/>
      <c r="CV434" s="26"/>
      <c r="CW434" s="26"/>
      <c r="CX434" s="26"/>
      <c r="CY434" s="26"/>
      <c r="CZ434" s="26"/>
      <c r="DA434" s="26"/>
      <c r="DB434" s="26"/>
      <c r="DC434" s="26"/>
      <c r="DD434" s="26"/>
    </row>
    <row r="435" spans="59:108" x14ac:dyDescent="0.2">
      <c r="BG435" s="26"/>
      <c r="BH435" s="26"/>
      <c r="BI435" s="26"/>
      <c r="BJ435" s="26"/>
      <c r="BK435" s="26"/>
      <c r="BL435" s="26"/>
      <c r="BM435" s="26"/>
      <c r="BN435" s="26"/>
      <c r="BO435" s="26"/>
      <c r="BP435" s="26"/>
      <c r="BQ435" s="26"/>
      <c r="BR435" s="26"/>
      <c r="BS435" s="26"/>
      <c r="BT435" s="26"/>
      <c r="BU435" s="26"/>
      <c r="BV435" s="26"/>
      <c r="BW435" s="26"/>
      <c r="BX435" s="26"/>
      <c r="BY435" s="26"/>
      <c r="BZ435" s="26"/>
      <c r="CA435" s="26"/>
      <c r="CB435" s="26"/>
      <c r="CC435" s="26"/>
      <c r="CD435" s="26"/>
      <c r="CE435" s="26"/>
      <c r="CF435" s="26"/>
      <c r="CG435" s="26"/>
      <c r="CH435" s="26"/>
      <c r="CI435" s="26"/>
      <c r="CJ435" s="26"/>
      <c r="CK435" s="26"/>
      <c r="CL435" s="26"/>
      <c r="CM435" s="26"/>
      <c r="CN435" s="26"/>
      <c r="CO435" s="26"/>
      <c r="CP435" s="26"/>
      <c r="CQ435" s="26"/>
      <c r="CR435" s="26"/>
      <c r="CS435" s="26"/>
      <c r="CT435" s="26"/>
      <c r="CU435" s="26"/>
      <c r="CV435" s="26"/>
      <c r="CW435" s="26"/>
      <c r="CX435" s="26"/>
      <c r="CY435" s="26"/>
      <c r="CZ435" s="26"/>
      <c r="DA435" s="26"/>
      <c r="DB435" s="26"/>
      <c r="DC435" s="26"/>
      <c r="DD435" s="26"/>
    </row>
    <row r="436" spans="59:108" x14ac:dyDescent="0.2">
      <c r="BG436" s="26"/>
      <c r="BH436" s="26"/>
      <c r="BI436" s="26"/>
      <c r="BJ436" s="26"/>
      <c r="BK436" s="26"/>
      <c r="BL436" s="26"/>
      <c r="BM436" s="26"/>
      <c r="BN436" s="26"/>
      <c r="BO436" s="26"/>
      <c r="BP436" s="26"/>
      <c r="BQ436" s="26"/>
      <c r="BR436" s="26"/>
      <c r="BS436" s="26"/>
      <c r="BT436" s="26"/>
      <c r="BU436" s="26"/>
      <c r="BV436" s="26"/>
      <c r="BW436" s="26"/>
      <c r="BX436" s="26"/>
      <c r="BY436" s="26"/>
      <c r="BZ436" s="26"/>
      <c r="CA436" s="26"/>
      <c r="CB436" s="26"/>
      <c r="CC436" s="26"/>
      <c r="CD436" s="26"/>
      <c r="CE436" s="26"/>
      <c r="CF436" s="26"/>
      <c r="CG436" s="26"/>
      <c r="CH436" s="26"/>
      <c r="CI436" s="26"/>
      <c r="CJ436" s="26"/>
      <c r="CK436" s="26"/>
      <c r="CL436" s="26"/>
      <c r="CM436" s="26"/>
      <c r="CN436" s="26"/>
      <c r="CO436" s="26"/>
      <c r="CP436" s="26"/>
      <c r="CQ436" s="26"/>
      <c r="CR436" s="26"/>
      <c r="CS436" s="26"/>
      <c r="CT436" s="26"/>
      <c r="CU436" s="26"/>
      <c r="CV436" s="26"/>
      <c r="CW436" s="26"/>
      <c r="CX436" s="26"/>
      <c r="CY436" s="26"/>
      <c r="CZ436" s="26"/>
      <c r="DA436" s="26"/>
      <c r="DB436" s="26"/>
      <c r="DC436" s="26"/>
      <c r="DD436" s="26"/>
    </row>
    <row r="437" spans="59:108" x14ac:dyDescent="0.2">
      <c r="BG437" s="26"/>
      <c r="BH437" s="26"/>
      <c r="BI437" s="26"/>
      <c r="BJ437" s="26"/>
      <c r="BK437" s="26"/>
      <c r="BL437" s="26"/>
      <c r="BM437" s="26"/>
      <c r="BN437" s="26"/>
      <c r="BO437" s="26"/>
      <c r="BP437" s="26"/>
      <c r="BQ437" s="26"/>
      <c r="BR437" s="26"/>
      <c r="BS437" s="26"/>
      <c r="BT437" s="26"/>
      <c r="BU437" s="26"/>
      <c r="BV437" s="26"/>
      <c r="BW437" s="26"/>
      <c r="BX437" s="26"/>
      <c r="BY437" s="26"/>
      <c r="BZ437" s="26"/>
      <c r="CA437" s="26"/>
      <c r="CB437" s="26"/>
      <c r="CC437" s="26"/>
      <c r="CD437" s="26"/>
      <c r="CE437" s="26"/>
      <c r="CF437" s="26"/>
      <c r="CG437" s="26"/>
      <c r="CH437" s="26"/>
      <c r="CI437" s="26"/>
      <c r="CJ437" s="26"/>
      <c r="CK437" s="26"/>
      <c r="CL437" s="26"/>
      <c r="CM437" s="26"/>
      <c r="CN437" s="26"/>
      <c r="CO437" s="26"/>
      <c r="CP437" s="26"/>
      <c r="CQ437" s="26"/>
      <c r="CR437" s="26"/>
      <c r="CS437" s="26"/>
      <c r="CT437" s="26"/>
      <c r="CU437" s="26"/>
      <c r="CV437" s="26"/>
      <c r="CW437" s="26"/>
      <c r="CX437" s="26"/>
      <c r="CY437" s="26"/>
      <c r="CZ437" s="26"/>
      <c r="DA437" s="26"/>
      <c r="DB437" s="26"/>
      <c r="DC437" s="26"/>
      <c r="DD437" s="26"/>
    </row>
    <row r="438" spans="59:108" x14ac:dyDescent="0.2">
      <c r="BG438" s="26"/>
      <c r="BH438" s="26"/>
      <c r="BI438" s="26"/>
      <c r="BJ438" s="26"/>
      <c r="BK438" s="26"/>
      <c r="BL438" s="26"/>
      <c r="BM438" s="26"/>
      <c r="BN438" s="26"/>
      <c r="BO438" s="26"/>
      <c r="BP438" s="26"/>
      <c r="BQ438" s="26"/>
      <c r="BR438" s="26"/>
      <c r="BS438" s="26"/>
      <c r="BT438" s="26"/>
      <c r="BU438" s="26"/>
      <c r="BV438" s="26"/>
      <c r="BW438" s="26"/>
      <c r="BX438" s="26"/>
      <c r="BY438" s="26"/>
      <c r="BZ438" s="26"/>
      <c r="CA438" s="26"/>
      <c r="CB438" s="26"/>
      <c r="CC438" s="26"/>
      <c r="CD438" s="26"/>
      <c r="CE438" s="26"/>
      <c r="CF438" s="26"/>
      <c r="CG438" s="26"/>
      <c r="CH438" s="26"/>
      <c r="CI438" s="26"/>
      <c r="CJ438" s="26"/>
      <c r="CK438" s="26"/>
      <c r="CL438" s="26"/>
      <c r="CM438" s="26"/>
      <c r="CN438" s="26"/>
      <c r="CO438" s="26"/>
      <c r="CP438" s="26"/>
      <c r="CQ438" s="26"/>
      <c r="CR438" s="26"/>
      <c r="CS438" s="26"/>
      <c r="CT438" s="26"/>
      <c r="CU438" s="26"/>
      <c r="CV438" s="26"/>
      <c r="CW438" s="26"/>
      <c r="CX438" s="26"/>
      <c r="CY438" s="26"/>
      <c r="CZ438" s="26"/>
      <c r="DA438" s="26"/>
      <c r="DB438" s="26"/>
      <c r="DC438" s="26"/>
      <c r="DD438" s="26"/>
    </row>
    <row r="439" spans="59:108" x14ac:dyDescent="0.2">
      <c r="BG439" s="26"/>
      <c r="BH439" s="26"/>
      <c r="BI439" s="26"/>
      <c r="BJ439" s="26"/>
      <c r="BK439" s="26"/>
      <c r="BL439" s="26"/>
      <c r="BM439" s="26"/>
      <c r="BN439" s="26"/>
      <c r="BO439" s="26"/>
      <c r="BP439" s="26"/>
      <c r="BQ439" s="26"/>
      <c r="BR439" s="26"/>
      <c r="BS439" s="26"/>
      <c r="BT439" s="26"/>
      <c r="BU439" s="26"/>
      <c r="BV439" s="26"/>
      <c r="BW439" s="26"/>
      <c r="BX439" s="26"/>
      <c r="BY439" s="26"/>
      <c r="BZ439" s="26"/>
      <c r="CA439" s="26"/>
      <c r="CB439" s="26"/>
      <c r="CC439" s="26"/>
      <c r="CD439" s="26"/>
      <c r="CE439" s="26"/>
      <c r="CF439" s="26"/>
      <c r="CG439" s="26"/>
      <c r="CH439" s="26"/>
      <c r="CI439" s="26"/>
      <c r="CJ439" s="26"/>
      <c r="CK439" s="26"/>
      <c r="CL439" s="26"/>
      <c r="CM439" s="26"/>
      <c r="CN439" s="26"/>
      <c r="CO439" s="26"/>
      <c r="CP439" s="26"/>
      <c r="CQ439" s="26"/>
      <c r="CR439" s="26"/>
      <c r="CS439" s="26"/>
      <c r="CT439" s="26"/>
      <c r="CU439" s="26"/>
      <c r="CV439" s="26"/>
      <c r="CW439" s="26"/>
      <c r="CX439" s="26"/>
      <c r="CY439" s="26"/>
      <c r="CZ439" s="26"/>
      <c r="DA439" s="26"/>
      <c r="DB439" s="26"/>
      <c r="DC439" s="26"/>
      <c r="DD439" s="26"/>
    </row>
    <row r="440" spans="59:108" x14ac:dyDescent="0.2">
      <c r="BG440" s="26"/>
      <c r="BH440" s="26"/>
      <c r="BI440" s="26"/>
      <c r="BJ440" s="26"/>
      <c r="BK440" s="26"/>
      <c r="BL440" s="26"/>
      <c r="BM440" s="26"/>
      <c r="BN440" s="26"/>
      <c r="BO440" s="26"/>
      <c r="BP440" s="26"/>
      <c r="BQ440" s="26"/>
      <c r="BR440" s="26"/>
      <c r="BS440" s="26"/>
      <c r="BT440" s="26"/>
      <c r="BU440" s="26"/>
      <c r="BV440" s="26"/>
      <c r="BW440" s="26"/>
      <c r="BX440" s="26"/>
      <c r="BY440" s="26"/>
      <c r="BZ440" s="26"/>
      <c r="CA440" s="26"/>
      <c r="CB440" s="26"/>
      <c r="CC440" s="26"/>
      <c r="CD440" s="26"/>
      <c r="CE440" s="26"/>
      <c r="CF440" s="26"/>
      <c r="CG440" s="26"/>
      <c r="CH440" s="26"/>
      <c r="CI440" s="26"/>
      <c r="CJ440" s="26"/>
      <c r="CK440" s="26"/>
      <c r="CL440" s="26"/>
      <c r="CM440" s="26"/>
      <c r="CN440" s="26"/>
      <c r="CO440" s="26"/>
      <c r="CP440" s="26"/>
      <c r="CQ440" s="26"/>
      <c r="CR440" s="26"/>
      <c r="CS440" s="26"/>
      <c r="CT440" s="26"/>
      <c r="CU440" s="26"/>
      <c r="CV440" s="26"/>
      <c r="CW440" s="26"/>
      <c r="CX440" s="26"/>
      <c r="CY440" s="26"/>
      <c r="CZ440" s="26"/>
      <c r="DA440" s="26"/>
      <c r="DB440" s="26"/>
      <c r="DC440" s="26"/>
      <c r="DD440" s="26"/>
    </row>
    <row r="441" spans="59:108" x14ac:dyDescent="0.2">
      <c r="BG441" s="26"/>
      <c r="BH441" s="26"/>
      <c r="BI441" s="26"/>
      <c r="BJ441" s="26"/>
      <c r="BK441" s="26"/>
      <c r="BL441" s="26"/>
      <c r="BM441" s="26"/>
      <c r="BN441" s="26"/>
      <c r="BO441" s="26"/>
      <c r="BP441" s="26"/>
      <c r="BQ441" s="26"/>
      <c r="BR441" s="26"/>
      <c r="BS441" s="26"/>
      <c r="BT441" s="26"/>
      <c r="BU441" s="26"/>
      <c r="BV441" s="26"/>
      <c r="BW441" s="26"/>
      <c r="BX441" s="26"/>
      <c r="BY441" s="26"/>
      <c r="BZ441" s="26"/>
      <c r="CA441" s="26"/>
      <c r="CB441" s="26"/>
      <c r="CC441" s="26"/>
      <c r="CD441" s="26"/>
      <c r="CE441" s="26"/>
      <c r="CF441" s="26"/>
      <c r="CG441" s="26"/>
      <c r="CH441" s="26"/>
      <c r="CI441" s="26"/>
      <c r="CJ441" s="26"/>
      <c r="CK441" s="26"/>
      <c r="CL441" s="26"/>
      <c r="CM441" s="26"/>
      <c r="CN441" s="26"/>
      <c r="CO441" s="26"/>
      <c r="CP441" s="26"/>
      <c r="CQ441" s="26"/>
      <c r="CR441" s="26"/>
      <c r="CS441" s="26"/>
      <c r="CT441" s="26"/>
      <c r="CU441" s="26"/>
      <c r="CV441" s="26"/>
      <c r="CW441" s="26"/>
      <c r="CX441" s="26"/>
      <c r="CY441" s="26"/>
      <c r="CZ441" s="26"/>
      <c r="DA441" s="26"/>
      <c r="DB441" s="26"/>
      <c r="DC441" s="26"/>
      <c r="DD441" s="26"/>
    </row>
    <row r="442" spans="59:108" x14ac:dyDescent="0.2">
      <c r="BG442" s="26"/>
      <c r="BH442" s="26"/>
      <c r="BI442" s="26"/>
      <c r="BJ442" s="26"/>
      <c r="BK442" s="26"/>
      <c r="BL442" s="26"/>
      <c r="BM442" s="26"/>
      <c r="BN442" s="26"/>
      <c r="BO442" s="26"/>
      <c r="BP442" s="26"/>
      <c r="BQ442" s="26"/>
      <c r="BR442" s="26"/>
      <c r="BS442" s="26"/>
      <c r="BT442" s="26"/>
      <c r="BU442" s="26"/>
      <c r="BV442" s="26"/>
      <c r="BW442" s="26"/>
      <c r="BX442" s="26"/>
      <c r="BY442" s="26"/>
      <c r="BZ442" s="26"/>
      <c r="CA442" s="26"/>
      <c r="CB442" s="26"/>
      <c r="CC442" s="26"/>
      <c r="CD442" s="26"/>
      <c r="CE442" s="26"/>
      <c r="CF442" s="26"/>
      <c r="CG442" s="26"/>
      <c r="CH442" s="26"/>
      <c r="CI442" s="26"/>
      <c r="CJ442" s="26"/>
      <c r="CK442" s="26"/>
      <c r="CL442" s="26"/>
      <c r="CM442" s="26"/>
      <c r="CN442" s="26"/>
      <c r="CO442" s="26"/>
      <c r="CP442" s="26"/>
      <c r="CQ442" s="26"/>
      <c r="CR442" s="26"/>
      <c r="CS442" s="26"/>
      <c r="CT442" s="26"/>
      <c r="CU442" s="26"/>
      <c r="CV442" s="26"/>
      <c r="CW442" s="26"/>
      <c r="CX442" s="26"/>
      <c r="CY442" s="26"/>
      <c r="CZ442" s="26"/>
      <c r="DA442" s="26"/>
      <c r="DB442" s="26"/>
      <c r="DC442" s="26"/>
      <c r="DD442" s="26"/>
    </row>
    <row r="443" spans="59:108" x14ac:dyDescent="0.2">
      <c r="BG443" s="26"/>
      <c r="BH443" s="26"/>
      <c r="BI443" s="26"/>
      <c r="BJ443" s="26"/>
      <c r="BK443" s="26"/>
      <c r="BL443" s="26"/>
      <c r="BM443" s="26"/>
      <c r="BN443" s="26"/>
      <c r="BO443" s="26"/>
      <c r="BP443" s="26"/>
      <c r="BQ443" s="26"/>
      <c r="BR443" s="26"/>
      <c r="BS443" s="26"/>
      <c r="BT443" s="26"/>
      <c r="BU443" s="26"/>
      <c r="BV443" s="26"/>
      <c r="BW443" s="26"/>
      <c r="BX443" s="26"/>
      <c r="BY443" s="26"/>
      <c r="BZ443" s="26"/>
      <c r="CA443" s="26"/>
      <c r="CB443" s="26"/>
      <c r="CC443" s="26"/>
      <c r="CD443" s="26"/>
      <c r="CE443" s="26"/>
      <c r="CF443" s="26"/>
      <c r="CG443" s="26"/>
      <c r="CH443" s="26"/>
      <c r="CI443" s="26"/>
      <c r="CJ443" s="26"/>
      <c r="CK443" s="26"/>
      <c r="CL443" s="26"/>
      <c r="CM443" s="26"/>
      <c r="CN443" s="26"/>
      <c r="CO443" s="26"/>
      <c r="CP443" s="26"/>
      <c r="CQ443" s="26"/>
      <c r="CR443" s="26"/>
      <c r="CS443" s="26"/>
      <c r="CT443" s="26"/>
      <c r="CU443" s="26"/>
      <c r="CV443" s="26"/>
      <c r="CW443" s="26"/>
      <c r="CX443" s="26"/>
      <c r="CY443" s="26"/>
      <c r="CZ443" s="26"/>
      <c r="DA443" s="26"/>
      <c r="DB443" s="26"/>
      <c r="DC443" s="26"/>
      <c r="DD443" s="26"/>
    </row>
    <row r="444" spans="59:108" x14ac:dyDescent="0.2">
      <c r="BG444" s="26"/>
      <c r="BH444" s="26"/>
      <c r="BI444" s="26"/>
      <c r="BJ444" s="26"/>
      <c r="BK444" s="26"/>
      <c r="BL444" s="26"/>
      <c r="BM444" s="26"/>
      <c r="BN444" s="26"/>
      <c r="BO444" s="26"/>
      <c r="BP444" s="26"/>
      <c r="BQ444" s="26"/>
      <c r="BR444" s="26"/>
      <c r="BS444" s="26"/>
      <c r="BT444" s="26"/>
      <c r="BU444" s="26"/>
      <c r="BV444" s="26"/>
      <c r="BW444" s="26"/>
      <c r="BX444" s="26"/>
      <c r="BY444" s="26"/>
      <c r="BZ444" s="26"/>
      <c r="CA444" s="26"/>
      <c r="CB444" s="26"/>
      <c r="CC444" s="26"/>
      <c r="CD444" s="26"/>
      <c r="CE444" s="26"/>
      <c r="CF444" s="26"/>
      <c r="CG444" s="26"/>
      <c r="CH444" s="26"/>
      <c r="CI444" s="26"/>
      <c r="CJ444" s="26"/>
      <c r="CK444" s="26"/>
      <c r="CL444" s="26"/>
      <c r="CM444" s="26"/>
      <c r="CN444" s="26"/>
      <c r="CO444" s="26"/>
      <c r="CP444" s="26"/>
      <c r="CQ444" s="26"/>
      <c r="CR444" s="26"/>
      <c r="CS444" s="26"/>
      <c r="CT444" s="26"/>
      <c r="CU444" s="26"/>
      <c r="CV444" s="26"/>
      <c r="CW444" s="26"/>
      <c r="CX444" s="26"/>
      <c r="CY444" s="26"/>
      <c r="CZ444" s="26"/>
      <c r="DA444" s="26"/>
      <c r="DB444" s="26"/>
      <c r="DC444" s="26"/>
      <c r="DD444" s="26"/>
    </row>
    <row r="445" spans="59:108" x14ac:dyDescent="0.2">
      <c r="BG445" s="26"/>
      <c r="BH445" s="26"/>
      <c r="BI445" s="26"/>
      <c r="BJ445" s="26"/>
      <c r="BK445" s="26"/>
      <c r="BL445" s="26"/>
      <c r="BM445" s="26"/>
      <c r="BN445" s="26"/>
      <c r="BO445" s="26"/>
      <c r="BP445" s="26"/>
      <c r="BQ445" s="26"/>
      <c r="BR445" s="26"/>
      <c r="BS445" s="26"/>
      <c r="BT445" s="26"/>
      <c r="BU445" s="26"/>
      <c r="BV445" s="26"/>
      <c r="BW445" s="26"/>
      <c r="BX445" s="26"/>
      <c r="BY445" s="26"/>
      <c r="BZ445" s="26"/>
      <c r="CA445" s="26"/>
      <c r="CB445" s="26"/>
      <c r="CC445" s="26"/>
      <c r="CD445" s="26"/>
      <c r="CE445" s="26"/>
      <c r="CF445" s="26"/>
      <c r="CG445" s="26"/>
      <c r="CH445" s="26"/>
      <c r="CI445" s="26"/>
      <c r="CJ445" s="26"/>
      <c r="CK445" s="26"/>
      <c r="CL445" s="26"/>
      <c r="CM445" s="26"/>
      <c r="CN445" s="26"/>
      <c r="CO445" s="26"/>
      <c r="CP445" s="26"/>
      <c r="CQ445" s="26"/>
      <c r="CR445" s="26"/>
      <c r="CS445" s="26"/>
      <c r="CT445" s="26"/>
      <c r="CU445" s="26"/>
      <c r="CV445" s="26"/>
      <c r="CW445" s="26"/>
      <c r="CX445" s="26"/>
      <c r="CY445" s="26"/>
      <c r="CZ445" s="26"/>
      <c r="DA445" s="26"/>
      <c r="DB445" s="26"/>
      <c r="DC445" s="26"/>
      <c r="DD445" s="26"/>
    </row>
    <row r="446" spans="59:108" x14ac:dyDescent="0.2">
      <c r="BG446" s="26"/>
      <c r="BH446" s="26"/>
      <c r="BI446" s="26"/>
      <c r="BJ446" s="26"/>
      <c r="BK446" s="26"/>
      <c r="BL446" s="26"/>
      <c r="BM446" s="26"/>
      <c r="BN446" s="26"/>
      <c r="BO446" s="26"/>
      <c r="BP446" s="26"/>
      <c r="BQ446" s="26"/>
      <c r="BR446" s="26"/>
      <c r="BS446" s="26"/>
      <c r="BT446" s="26"/>
      <c r="BU446" s="26"/>
      <c r="BV446" s="26"/>
      <c r="BW446" s="26"/>
      <c r="BX446" s="26"/>
      <c r="BY446" s="26"/>
      <c r="BZ446" s="26"/>
      <c r="CA446" s="26"/>
      <c r="CB446" s="26"/>
      <c r="CC446" s="26"/>
      <c r="CD446" s="26"/>
      <c r="CE446" s="26"/>
      <c r="CF446" s="26"/>
      <c r="CG446" s="26"/>
      <c r="CH446" s="26"/>
      <c r="CI446" s="26"/>
      <c r="CJ446" s="26"/>
      <c r="CK446" s="26"/>
      <c r="CL446" s="26"/>
      <c r="CM446" s="26"/>
      <c r="CN446" s="26"/>
      <c r="CO446" s="26"/>
      <c r="CP446" s="26"/>
      <c r="CQ446" s="26"/>
      <c r="CR446" s="26"/>
      <c r="CS446" s="26"/>
      <c r="CT446" s="26"/>
      <c r="CU446" s="26"/>
      <c r="CV446" s="26"/>
      <c r="CW446" s="26"/>
      <c r="CX446" s="26"/>
      <c r="CY446" s="26"/>
      <c r="CZ446" s="26"/>
      <c r="DA446" s="26"/>
      <c r="DB446" s="26"/>
      <c r="DC446" s="26"/>
      <c r="DD446" s="26"/>
    </row>
    <row r="447" spans="59:108" x14ac:dyDescent="0.2">
      <c r="BG447" s="26"/>
      <c r="BH447" s="26"/>
      <c r="BI447" s="26"/>
      <c r="BJ447" s="26"/>
      <c r="BK447" s="26"/>
      <c r="BL447" s="26"/>
      <c r="BM447" s="26"/>
      <c r="BN447" s="26"/>
      <c r="BO447" s="26"/>
      <c r="BP447" s="26"/>
      <c r="BQ447" s="26"/>
      <c r="BR447" s="26"/>
      <c r="BS447" s="26"/>
      <c r="BT447" s="26"/>
      <c r="BU447" s="26"/>
      <c r="BV447" s="26"/>
      <c r="BW447" s="26"/>
      <c r="BX447" s="26"/>
      <c r="BY447" s="26"/>
      <c r="BZ447" s="26"/>
      <c r="CA447" s="26"/>
      <c r="CB447" s="26"/>
      <c r="CC447" s="26"/>
      <c r="CD447" s="26"/>
      <c r="CE447" s="26"/>
      <c r="CF447" s="26"/>
      <c r="CG447" s="26"/>
      <c r="CH447" s="26"/>
      <c r="CI447" s="26"/>
      <c r="CJ447" s="26"/>
      <c r="CK447" s="26"/>
      <c r="CL447" s="26"/>
      <c r="CM447" s="26"/>
      <c r="CN447" s="26"/>
      <c r="CO447" s="26"/>
      <c r="CP447" s="26"/>
      <c r="CQ447" s="26"/>
      <c r="CR447" s="26"/>
      <c r="CS447" s="26"/>
      <c r="CT447" s="26"/>
      <c r="CU447" s="26"/>
      <c r="CV447" s="26"/>
      <c r="CW447" s="26"/>
      <c r="CX447" s="26"/>
      <c r="CY447" s="26"/>
      <c r="CZ447" s="26"/>
      <c r="DA447" s="26"/>
      <c r="DB447" s="26"/>
      <c r="DC447" s="26"/>
      <c r="DD447" s="26"/>
    </row>
    <row r="448" spans="59:108" x14ac:dyDescent="0.2">
      <c r="BG448" s="26"/>
      <c r="BH448" s="26"/>
      <c r="BI448" s="26"/>
      <c r="BJ448" s="26"/>
      <c r="BK448" s="26"/>
      <c r="BL448" s="26"/>
      <c r="BM448" s="26"/>
      <c r="BN448" s="26"/>
      <c r="BO448" s="26"/>
      <c r="BP448" s="26"/>
      <c r="BQ448" s="26"/>
      <c r="BR448" s="26"/>
      <c r="BS448" s="26"/>
      <c r="BT448" s="26"/>
      <c r="BU448" s="26"/>
      <c r="BV448" s="26"/>
      <c r="BW448" s="26"/>
      <c r="BX448" s="26"/>
      <c r="BY448" s="26"/>
      <c r="BZ448" s="26"/>
      <c r="CA448" s="26"/>
      <c r="CB448" s="26"/>
      <c r="CC448" s="26"/>
      <c r="CD448" s="26"/>
      <c r="CE448" s="26"/>
      <c r="CF448" s="26"/>
      <c r="CG448" s="26"/>
      <c r="CH448" s="26"/>
      <c r="CI448" s="26"/>
      <c r="CJ448" s="26"/>
      <c r="CK448" s="26"/>
      <c r="CL448" s="26"/>
      <c r="CM448" s="26"/>
      <c r="CN448" s="26"/>
      <c r="CO448" s="26"/>
      <c r="CP448" s="26"/>
      <c r="CQ448" s="26"/>
      <c r="CR448" s="26"/>
      <c r="CS448" s="26"/>
      <c r="CT448" s="26"/>
      <c r="CU448" s="26"/>
      <c r="CV448" s="26"/>
      <c r="CW448" s="26"/>
      <c r="CX448" s="26"/>
      <c r="CY448" s="26"/>
      <c r="CZ448" s="26"/>
      <c r="DA448" s="26"/>
      <c r="DB448" s="26"/>
      <c r="DC448" s="26"/>
      <c r="DD448" s="26"/>
    </row>
    <row r="449" spans="59:108" x14ac:dyDescent="0.2">
      <c r="BG449" s="26"/>
      <c r="BH449" s="26"/>
      <c r="BI449" s="26"/>
      <c r="BJ449" s="26"/>
      <c r="BK449" s="26"/>
      <c r="BL449" s="26"/>
      <c r="BM449" s="26"/>
      <c r="BN449" s="26"/>
      <c r="BO449" s="26"/>
      <c r="BP449" s="26"/>
      <c r="BQ449" s="26"/>
      <c r="BR449" s="26"/>
      <c r="BS449" s="26"/>
      <c r="BT449" s="26"/>
      <c r="BU449" s="26"/>
      <c r="BV449" s="26"/>
      <c r="BW449" s="26"/>
      <c r="BX449" s="26"/>
      <c r="BY449" s="26"/>
      <c r="BZ449" s="26"/>
      <c r="CA449" s="26"/>
      <c r="CB449" s="26"/>
      <c r="CC449" s="26"/>
      <c r="CD449" s="26"/>
      <c r="CE449" s="26"/>
      <c r="CF449" s="26"/>
      <c r="CG449" s="26"/>
      <c r="CH449" s="26"/>
      <c r="CI449" s="26"/>
      <c r="CJ449" s="26"/>
      <c r="CK449" s="26"/>
      <c r="CL449" s="26"/>
      <c r="CM449" s="26"/>
      <c r="CN449" s="26"/>
      <c r="CO449" s="26"/>
      <c r="CP449" s="26"/>
      <c r="CQ449" s="26"/>
      <c r="CR449" s="26"/>
      <c r="CS449" s="26"/>
      <c r="CT449" s="26"/>
      <c r="CU449" s="26"/>
      <c r="CV449" s="26"/>
      <c r="CW449" s="26"/>
      <c r="CX449" s="26"/>
      <c r="CY449" s="26"/>
      <c r="CZ449" s="26"/>
      <c r="DA449" s="26"/>
      <c r="DB449" s="26"/>
      <c r="DC449" s="26"/>
      <c r="DD449" s="26"/>
    </row>
    <row r="450" spans="59:108" x14ac:dyDescent="0.2">
      <c r="BG450" s="26"/>
      <c r="BH450" s="26"/>
      <c r="BI450" s="26"/>
      <c r="BJ450" s="26"/>
      <c r="BK450" s="26"/>
      <c r="BL450" s="26"/>
      <c r="BM450" s="26"/>
      <c r="BN450" s="26"/>
      <c r="BO450" s="26"/>
      <c r="BP450" s="26"/>
      <c r="BQ450" s="26"/>
      <c r="BR450" s="26"/>
      <c r="BS450" s="26"/>
      <c r="BT450" s="26"/>
      <c r="BU450" s="26"/>
      <c r="BV450" s="26"/>
      <c r="BW450" s="26"/>
      <c r="BX450" s="26"/>
      <c r="BY450" s="26"/>
      <c r="BZ450" s="26"/>
      <c r="CA450" s="26"/>
      <c r="CB450" s="26"/>
      <c r="CC450" s="26"/>
      <c r="CD450" s="26"/>
      <c r="CE450" s="26"/>
      <c r="CF450" s="26"/>
      <c r="CG450" s="26"/>
      <c r="CH450" s="26"/>
      <c r="CI450" s="26"/>
      <c r="CJ450" s="26"/>
      <c r="CK450" s="26"/>
      <c r="CL450" s="26"/>
      <c r="CM450" s="26"/>
      <c r="CN450" s="26"/>
      <c r="CO450" s="26"/>
      <c r="CP450" s="26"/>
      <c r="CQ450" s="26"/>
      <c r="CR450" s="26"/>
      <c r="CS450" s="26"/>
      <c r="CT450" s="26"/>
      <c r="CU450" s="26"/>
      <c r="CV450" s="26"/>
      <c r="CW450" s="26"/>
      <c r="CX450" s="26"/>
      <c r="CY450" s="26"/>
      <c r="CZ450" s="26"/>
      <c r="DA450" s="26"/>
      <c r="DB450" s="26"/>
      <c r="DC450" s="26"/>
      <c r="DD450" s="26"/>
    </row>
    <row r="451" spans="59:108" x14ac:dyDescent="0.2">
      <c r="BG451" s="26"/>
      <c r="BH451" s="26"/>
      <c r="BI451" s="26"/>
      <c r="BJ451" s="26"/>
      <c r="BK451" s="26"/>
      <c r="BL451" s="26"/>
      <c r="BM451" s="26"/>
      <c r="BN451" s="26"/>
      <c r="BO451" s="26"/>
      <c r="BP451" s="26"/>
      <c r="BQ451" s="26"/>
      <c r="BR451" s="26"/>
      <c r="BS451" s="26"/>
      <c r="BT451" s="26"/>
      <c r="BU451" s="26"/>
      <c r="BV451" s="26"/>
      <c r="BW451" s="26"/>
      <c r="BX451" s="26"/>
      <c r="BY451" s="26"/>
      <c r="BZ451" s="26"/>
      <c r="CA451" s="26"/>
      <c r="CB451" s="26"/>
      <c r="CC451" s="26"/>
      <c r="CD451" s="26"/>
      <c r="CE451" s="26"/>
      <c r="CF451" s="26"/>
      <c r="CG451" s="26"/>
      <c r="CH451" s="26"/>
      <c r="CI451" s="26"/>
      <c r="CJ451" s="26"/>
      <c r="CK451" s="26"/>
      <c r="CL451" s="26"/>
      <c r="CM451" s="26"/>
      <c r="CN451" s="26"/>
      <c r="CO451" s="26"/>
      <c r="CP451" s="26"/>
      <c r="CQ451" s="26"/>
      <c r="CR451" s="26"/>
      <c r="CS451" s="26"/>
      <c r="CT451" s="26"/>
      <c r="CU451" s="26"/>
      <c r="CV451" s="26"/>
      <c r="CW451" s="26"/>
      <c r="CX451" s="26"/>
      <c r="CY451" s="26"/>
      <c r="CZ451" s="26"/>
      <c r="DA451" s="26"/>
      <c r="DB451" s="26"/>
      <c r="DC451" s="26"/>
      <c r="DD451" s="26"/>
    </row>
    <row r="452" spans="59:108" x14ac:dyDescent="0.2">
      <c r="BG452" s="26"/>
      <c r="BH452" s="26"/>
      <c r="BI452" s="26"/>
      <c r="BJ452" s="26"/>
      <c r="BK452" s="26"/>
      <c r="BL452" s="26"/>
      <c r="BM452" s="26"/>
      <c r="BN452" s="26"/>
      <c r="BO452" s="26"/>
      <c r="BP452" s="26"/>
      <c r="BQ452" s="26"/>
      <c r="BR452" s="26"/>
      <c r="BS452" s="26"/>
      <c r="BT452" s="26"/>
      <c r="BU452" s="26"/>
      <c r="BV452" s="26"/>
      <c r="BW452" s="26"/>
      <c r="BX452" s="26"/>
      <c r="BY452" s="26"/>
      <c r="BZ452" s="26"/>
      <c r="CA452" s="26"/>
      <c r="CB452" s="26"/>
      <c r="CC452" s="26"/>
      <c r="CD452" s="26"/>
      <c r="CE452" s="26"/>
      <c r="CF452" s="26"/>
      <c r="CG452" s="26"/>
      <c r="CH452" s="26"/>
      <c r="CI452" s="26"/>
      <c r="CJ452" s="26"/>
      <c r="CK452" s="26"/>
      <c r="CL452" s="26"/>
      <c r="CM452" s="26"/>
      <c r="CN452" s="26"/>
      <c r="CO452" s="26"/>
      <c r="CP452" s="26"/>
      <c r="CQ452" s="26"/>
      <c r="CR452" s="26"/>
      <c r="CS452" s="26"/>
      <c r="CT452" s="26"/>
      <c r="CU452" s="26"/>
      <c r="CV452" s="26"/>
      <c r="CW452" s="26"/>
      <c r="CX452" s="26"/>
      <c r="CY452" s="26"/>
      <c r="CZ452" s="26"/>
      <c r="DA452" s="26"/>
      <c r="DB452" s="26"/>
      <c r="DC452" s="26"/>
      <c r="DD452" s="26"/>
    </row>
    <row r="453" spans="59:108" x14ac:dyDescent="0.2">
      <c r="BG453" s="26"/>
      <c r="BH453" s="26"/>
      <c r="BI453" s="26"/>
      <c r="BJ453" s="26"/>
      <c r="BK453" s="26"/>
      <c r="BL453" s="26"/>
      <c r="BM453" s="26"/>
      <c r="BN453" s="26"/>
      <c r="BO453" s="26"/>
      <c r="BP453" s="26"/>
      <c r="BQ453" s="26"/>
      <c r="BR453" s="26"/>
      <c r="BS453" s="26"/>
      <c r="BT453" s="26"/>
      <c r="BU453" s="26"/>
      <c r="BV453" s="26"/>
      <c r="BW453" s="26"/>
      <c r="BX453" s="26"/>
      <c r="BY453" s="26"/>
      <c r="BZ453" s="26"/>
      <c r="CA453" s="26"/>
      <c r="CB453" s="26"/>
      <c r="CC453" s="26"/>
      <c r="CD453" s="26"/>
      <c r="CE453" s="26"/>
      <c r="CF453" s="26"/>
      <c r="CG453" s="26"/>
      <c r="CH453" s="26"/>
      <c r="CI453" s="26"/>
      <c r="CJ453" s="26"/>
      <c r="CK453" s="26"/>
      <c r="CL453" s="26"/>
      <c r="CM453" s="26"/>
      <c r="CN453" s="26"/>
      <c r="CO453" s="26"/>
      <c r="CP453" s="26"/>
      <c r="CQ453" s="26"/>
      <c r="CR453" s="26"/>
      <c r="CS453" s="26"/>
      <c r="CT453" s="26"/>
      <c r="CU453" s="26"/>
      <c r="CV453" s="26"/>
      <c r="CW453" s="26"/>
      <c r="CX453" s="26"/>
      <c r="CY453" s="26"/>
      <c r="CZ453" s="26"/>
      <c r="DA453" s="26"/>
      <c r="DB453" s="26"/>
      <c r="DC453" s="26"/>
      <c r="DD453" s="26"/>
    </row>
    <row r="454" spans="59:108" x14ac:dyDescent="0.2">
      <c r="BG454" s="26"/>
      <c r="BH454" s="26"/>
      <c r="BI454" s="26"/>
      <c r="BJ454" s="26"/>
      <c r="BK454" s="26"/>
      <c r="BL454" s="26"/>
      <c r="BM454" s="26"/>
      <c r="BN454" s="26"/>
      <c r="BO454" s="26"/>
      <c r="BP454" s="26"/>
      <c r="BQ454" s="26"/>
      <c r="BR454" s="26"/>
      <c r="BS454" s="26"/>
      <c r="BT454" s="26"/>
      <c r="BU454" s="26"/>
      <c r="BV454" s="26"/>
      <c r="BW454" s="26"/>
      <c r="BX454" s="26"/>
      <c r="BY454" s="26"/>
      <c r="BZ454" s="26"/>
      <c r="CA454" s="26"/>
      <c r="CB454" s="26"/>
      <c r="CC454" s="26"/>
      <c r="CD454" s="26"/>
      <c r="CE454" s="26"/>
      <c r="CF454" s="26"/>
      <c r="CG454" s="26"/>
      <c r="CH454" s="26"/>
      <c r="CI454" s="26"/>
      <c r="CJ454" s="26"/>
      <c r="CK454" s="26"/>
      <c r="CL454" s="26"/>
      <c r="CM454" s="26"/>
      <c r="CN454" s="26"/>
      <c r="CO454" s="26"/>
      <c r="CP454" s="26"/>
      <c r="CQ454" s="26"/>
      <c r="CR454" s="26"/>
      <c r="CS454" s="26"/>
      <c r="CT454" s="26"/>
      <c r="CU454" s="26"/>
      <c r="CV454" s="26"/>
      <c r="CW454" s="26"/>
      <c r="CX454" s="26"/>
      <c r="CY454" s="26"/>
      <c r="CZ454" s="26"/>
      <c r="DA454" s="26"/>
      <c r="DB454" s="26"/>
      <c r="DC454" s="26"/>
      <c r="DD454" s="26"/>
    </row>
    <row r="455" spans="59:108" x14ac:dyDescent="0.2">
      <c r="BG455" s="26"/>
      <c r="BH455" s="26"/>
      <c r="BI455" s="26"/>
      <c r="BJ455" s="26"/>
      <c r="BK455" s="26"/>
      <c r="BL455" s="26"/>
      <c r="BM455" s="26"/>
      <c r="BN455" s="26"/>
      <c r="BO455" s="26"/>
      <c r="BP455" s="26"/>
      <c r="BQ455" s="26"/>
      <c r="BR455" s="26"/>
      <c r="BS455" s="26"/>
      <c r="BT455" s="26"/>
      <c r="BU455" s="26"/>
      <c r="BV455" s="26"/>
      <c r="BW455" s="26"/>
      <c r="BX455" s="26"/>
      <c r="BY455" s="26"/>
      <c r="BZ455" s="26"/>
      <c r="CA455" s="26"/>
      <c r="CB455" s="26"/>
      <c r="CC455" s="26"/>
      <c r="CD455" s="26"/>
      <c r="CE455" s="26"/>
      <c r="CF455" s="26"/>
      <c r="CG455" s="26"/>
      <c r="CH455" s="26"/>
      <c r="CI455" s="26"/>
      <c r="CJ455" s="26"/>
      <c r="CK455" s="26"/>
      <c r="CL455" s="26"/>
      <c r="CM455" s="26"/>
      <c r="CN455" s="26"/>
      <c r="CO455" s="26"/>
      <c r="CP455" s="26"/>
      <c r="CQ455" s="26"/>
      <c r="CR455" s="26"/>
      <c r="CS455" s="26"/>
      <c r="CT455" s="26"/>
      <c r="CU455" s="26"/>
      <c r="CV455" s="26"/>
      <c r="CW455" s="26"/>
      <c r="CX455" s="26"/>
      <c r="CY455" s="26"/>
      <c r="CZ455" s="26"/>
      <c r="DA455" s="26"/>
      <c r="DB455" s="26"/>
      <c r="DC455" s="26"/>
      <c r="DD455" s="26"/>
    </row>
    <row r="456" spans="59:108" x14ac:dyDescent="0.2">
      <c r="BG456" s="26"/>
      <c r="BH456" s="26"/>
      <c r="BI456" s="26"/>
      <c r="BJ456" s="26"/>
      <c r="BK456" s="26"/>
      <c r="BL456" s="26"/>
      <c r="BM456" s="26"/>
      <c r="BN456" s="26"/>
      <c r="BO456" s="26"/>
      <c r="BP456" s="26"/>
      <c r="BQ456" s="26"/>
      <c r="BR456" s="26"/>
      <c r="BS456" s="26"/>
      <c r="BT456" s="26"/>
      <c r="BU456" s="26"/>
      <c r="BV456" s="26"/>
      <c r="BW456" s="26"/>
      <c r="BX456" s="26"/>
      <c r="BY456" s="26"/>
      <c r="BZ456" s="26"/>
      <c r="CA456" s="26"/>
      <c r="CB456" s="26"/>
      <c r="CC456" s="26"/>
      <c r="CD456" s="26"/>
      <c r="CE456" s="26"/>
      <c r="CF456" s="26"/>
      <c r="CG456" s="26"/>
      <c r="CH456" s="26"/>
      <c r="CI456" s="26"/>
      <c r="CJ456" s="26"/>
      <c r="CK456" s="26"/>
      <c r="CL456" s="26"/>
      <c r="CM456" s="26"/>
      <c r="CN456" s="26"/>
      <c r="CO456" s="26"/>
      <c r="CP456" s="26"/>
      <c r="CQ456" s="26"/>
      <c r="CR456" s="26"/>
      <c r="CS456" s="26"/>
      <c r="CT456" s="26"/>
      <c r="CU456" s="26"/>
      <c r="CV456" s="26"/>
      <c r="CW456" s="26"/>
      <c r="CX456" s="26"/>
      <c r="CY456" s="26"/>
      <c r="CZ456" s="26"/>
      <c r="DA456" s="26"/>
      <c r="DB456" s="26"/>
      <c r="DC456" s="26"/>
      <c r="DD456" s="26"/>
    </row>
    <row r="457" spans="59:108" x14ac:dyDescent="0.2">
      <c r="BG457" s="26"/>
      <c r="BH457" s="26"/>
      <c r="BI457" s="26"/>
      <c r="BJ457" s="26"/>
      <c r="BK457" s="26"/>
      <c r="BL457" s="26"/>
      <c r="BM457" s="26"/>
      <c r="BN457" s="26"/>
      <c r="BO457" s="26"/>
      <c r="BP457" s="26"/>
      <c r="BQ457" s="26"/>
      <c r="BR457" s="26"/>
      <c r="BS457" s="26"/>
      <c r="BT457" s="26"/>
      <c r="BU457" s="26"/>
      <c r="BV457" s="26"/>
      <c r="BW457" s="26"/>
      <c r="BX457" s="26"/>
      <c r="BY457" s="26"/>
      <c r="BZ457" s="26"/>
      <c r="CA457" s="26"/>
      <c r="CB457" s="26"/>
      <c r="CC457" s="26"/>
      <c r="CD457" s="26"/>
      <c r="CE457" s="26"/>
      <c r="CF457" s="26"/>
      <c r="CG457" s="26"/>
      <c r="CH457" s="26"/>
      <c r="CI457" s="26"/>
      <c r="CJ457" s="26"/>
      <c r="CK457" s="26"/>
      <c r="CL457" s="26"/>
      <c r="CM457" s="26"/>
      <c r="CN457" s="26"/>
      <c r="CO457" s="26"/>
      <c r="CP457" s="26"/>
      <c r="CQ457" s="26"/>
      <c r="CR457" s="26"/>
      <c r="CS457" s="26"/>
      <c r="CT457" s="26"/>
      <c r="CU457" s="26"/>
      <c r="CV457" s="26"/>
      <c r="CW457" s="26"/>
      <c r="CX457" s="26"/>
      <c r="CY457" s="26"/>
      <c r="CZ457" s="26"/>
      <c r="DA457" s="26"/>
      <c r="DB457" s="26"/>
      <c r="DC457" s="26"/>
      <c r="DD457" s="26"/>
    </row>
    <row r="458" spans="59:108" x14ac:dyDescent="0.2">
      <c r="BG458" s="26"/>
      <c r="BH458" s="26"/>
      <c r="BI458" s="26"/>
      <c r="BJ458" s="26"/>
      <c r="BK458" s="26"/>
      <c r="BL458" s="26"/>
      <c r="BM458" s="26"/>
      <c r="BN458" s="26"/>
      <c r="BO458" s="26"/>
      <c r="BP458" s="26"/>
      <c r="BQ458" s="26"/>
      <c r="BR458" s="26"/>
      <c r="BS458" s="26"/>
      <c r="BT458" s="26"/>
      <c r="BU458" s="26"/>
      <c r="BV458" s="26"/>
      <c r="BW458" s="26"/>
      <c r="BX458" s="26"/>
      <c r="BY458" s="26"/>
      <c r="BZ458" s="26"/>
      <c r="CA458" s="26"/>
      <c r="CB458" s="26"/>
      <c r="CC458" s="26"/>
      <c r="CD458" s="26"/>
      <c r="CE458" s="26"/>
      <c r="CF458" s="26"/>
      <c r="CG458" s="26"/>
      <c r="CH458" s="26"/>
      <c r="CI458" s="26"/>
      <c r="CJ458" s="26"/>
      <c r="CK458" s="26"/>
      <c r="CL458" s="26"/>
      <c r="CM458" s="26"/>
      <c r="CN458" s="26"/>
      <c r="CO458" s="26"/>
      <c r="CP458" s="26"/>
      <c r="CQ458" s="26"/>
      <c r="CR458" s="26"/>
      <c r="CS458" s="26"/>
      <c r="CT458" s="26"/>
      <c r="CU458" s="26"/>
      <c r="CV458" s="26"/>
      <c r="CW458" s="26"/>
      <c r="CX458" s="26"/>
      <c r="CY458" s="26"/>
      <c r="CZ458" s="26"/>
      <c r="DA458" s="26"/>
      <c r="DB458" s="26"/>
      <c r="DC458" s="26"/>
      <c r="DD458" s="26"/>
    </row>
    <row r="459" spans="59:108" x14ac:dyDescent="0.2">
      <c r="BG459" s="26"/>
      <c r="BH459" s="26"/>
      <c r="BI459" s="26"/>
      <c r="BJ459" s="26"/>
      <c r="BK459" s="26"/>
      <c r="BL459" s="26"/>
      <c r="BM459" s="26"/>
      <c r="BN459" s="26"/>
      <c r="BO459" s="26"/>
      <c r="BP459" s="26"/>
      <c r="BQ459" s="26"/>
      <c r="BR459" s="26"/>
      <c r="BS459" s="26"/>
      <c r="BT459" s="26"/>
      <c r="BU459" s="26"/>
      <c r="BV459" s="26"/>
      <c r="BW459" s="26"/>
      <c r="BX459" s="26"/>
      <c r="BY459" s="26"/>
      <c r="BZ459" s="26"/>
      <c r="CA459" s="26"/>
      <c r="CB459" s="26"/>
      <c r="CC459" s="26"/>
      <c r="CD459" s="26"/>
      <c r="CE459" s="26"/>
      <c r="CF459" s="26"/>
      <c r="CG459" s="26"/>
      <c r="CH459" s="26"/>
      <c r="CI459" s="26"/>
      <c r="CJ459" s="26"/>
      <c r="CK459" s="26"/>
      <c r="CL459" s="26"/>
      <c r="CM459" s="26"/>
      <c r="CN459" s="26"/>
      <c r="CO459" s="26"/>
      <c r="CP459" s="26"/>
      <c r="CQ459" s="26"/>
      <c r="CR459" s="26"/>
      <c r="CS459" s="26"/>
      <c r="CT459" s="26"/>
      <c r="CU459" s="26"/>
      <c r="CV459" s="26"/>
      <c r="CW459" s="26"/>
      <c r="CX459" s="26"/>
      <c r="CY459" s="26"/>
      <c r="CZ459" s="26"/>
      <c r="DA459" s="26"/>
      <c r="DB459" s="26"/>
      <c r="DC459" s="26"/>
      <c r="DD459" s="26"/>
    </row>
    <row r="460" spans="59:108" x14ac:dyDescent="0.2">
      <c r="BG460" s="26"/>
      <c r="BH460" s="26"/>
      <c r="BI460" s="26"/>
      <c r="BJ460" s="26"/>
      <c r="BK460" s="26"/>
      <c r="BL460" s="26"/>
      <c r="BM460" s="26"/>
      <c r="BN460" s="26"/>
      <c r="BO460" s="26"/>
      <c r="BP460" s="26"/>
      <c r="BQ460" s="26"/>
      <c r="BR460" s="26"/>
      <c r="BS460" s="26"/>
      <c r="BT460" s="26"/>
      <c r="BU460" s="26"/>
      <c r="BV460" s="26"/>
      <c r="BW460" s="26"/>
      <c r="BX460" s="26"/>
      <c r="BY460" s="26"/>
      <c r="BZ460" s="26"/>
      <c r="CA460" s="26"/>
      <c r="CB460" s="26"/>
      <c r="CC460" s="26"/>
      <c r="CD460" s="26"/>
      <c r="CE460" s="26"/>
      <c r="CF460" s="26"/>
      <c r="CG460" s="26"/>
      <c r="CH460" s="26"/>
      <c r="CI460" s="26"/>
      <c r="CJ460" s="26"/>
      <c r="CK460" s="26"/>
      <c r="CL460" s="26"/>
      <c r="CM460" s="26"/>
      <c r="CN460" s="26"/>
      <c r="CO460" s="26"/>
      <c r="CP460" s="26"/>
      <c r="CQ460" s="26"/>
      <c r="CR460" s="26"/>
      <c r="CS460" s="26"/>
      <c r="CT460" s="26"/>
      <c r="CU460" s="26"/>
      <c r="CV460" s="26"/>
      <c r="CW460" s="26"/>
      <c r="CX460" s="26"/>
      <c r="CY460" s="26"/>
      <c r="CZ460" s="26"/>
      <c r="DA460" s="26"/>
      <c r="DB460" s="26"/>
      <c r="DC460" s="26"/>
      <c r="DD460" s="26"/>
    </row>
    <row r="461" spans="59:108" x14ac:dyDescent="0.2">
      <c r="BG461" s="26"/>
      <c r="BH461" s="26"/>
      <c r="BI461" s="26"/>
      <c r="BJ461" s="26"/>
      <c r="BK461" s="26"/>
      <c r="BL461" s="26"/>
      <c r="BM461" s="26"/>
      <c r="BN461" s="26"/>
      <c r="BO461" s="26"/>
      <c r="BP461" s="26"/>
      <c r="BQ461" s="26"/>
      <c r="BR461" s="26"/>
      <c r="BS461" s="26"/>
      <c r="BT461" s="26"/>
      <c r="BU461" s="26"/>
      <c r="BV461" s="26"/>
      <c r="BW461" s="26"/>
      <c r="BX461" s="26"/>
      <c r="BY461" s="26"/>
      <c r="BZ461" s="26"/>
      <c r="CA461" s="26"/>
      <c r="CB461" s="26"/>
      <c r="CC461" s="26"/>
      <c r="CD461" s="26"/>
      <c r="CE461" s="26"/>
      <c r="CF461" s="26"/>
      <c r="CG461" s="26"/>
      <c r="CH461" s="26"/>
      <c r="CI461" s="26"/>
      <c r="CJ461" s="26"/>
      <c r="CK461" s="26"/>
      <c r="CL461" s="26"/>
      <c r="CM461" s="26"/>
      <c r="CN461" s="26"/>
      <c r="CO461" s="26"/>
      <c r="CP461" s="26"/>
      <c r="CQ461" s="26"/>
      <c r="CR461" s="26"/>
      <c r="CS461" s="26"/>
      <c r="CT461" s="26"/>
      <c r="CU461" s="26"/>
      <c r="CV461" s="26"/>
      <c r="CW461" s="26"/>
      <c r="CX461" s="26"/>
      <c r="CY461" s="26"/>
      <c r="CZ461" s="26"/>
      <c r="DA461" s="26"/>
      <c r="DB461" s="26"/>
      <c r="DC461" s="26"/>
      <c r="DD461" s="26"/>
    </row>
    <row r="462" spans="59:108" x14ac:dyDescent="0.2">
      <c r="BG462" s="26"/>
      <c r="BH462" s="26"/>
      <c r="BI462" s="26"/>
      <c r="BJ462" s="26"/>
      <c r="BK462" s="26"/>
      <c r="BL462" s="26"/>
      <c r="BM462" s="26"/>
      <c r="BN462" s="26"/>
      <c r="BO462" s="26"/>
      <c r="BP462" s="26"/>
      <c r="BQ462" s="26"/>
      <c r="BR462" s="26"/>
      <c r="BS462" s="26"/>
      <c r="BT462" s="26"/>
      <c r="BU462" s="26"/>
      <c r="BV462" s="26"/>
      <c r="BW462" s="26"/>
      <c r="BX462" s="26"/>
      <c r="BY462" s="26"/>
      <c r="BZ462" s="26"/>
      <c r="CA462" s="26"/>
      <c r="CB462" s="26"/>
      <c r="CC462" s="26"/>
      <c r="CD462" s="26"/>
      <c r="CE462" s="26"/>
      <c r="CF462" s="26"/>
      <c r="CG462" s="26"/>
      <c r="CH462" s="26"/>
      <c r="CI462" s="26"/>
      <c r="CJ462" s="26"/>
      <c r="CK462" s="26"/>
      <c r="CL462" s="26"/>
      <c r="CM462" s="26"/>
      <c r="CN462" s="26"/>
      <c r="CO462" s="26"/>
      <c r="CP462" s="26"/>
      <c r="CQ462" s="26"/>
      <c r="CR462" s="26"/>
      <c r="CS462" s="26"/>
      <c r="CT462" s="26"/>
      <c r="CU462" s="26"/>
      <c r="CV462" s="26"/>
      <c r="CW462" s="26"/>
      <c r="CX462" s="26"/>
      <c r="CY462" s="26"/>
      <c r="CZ462" s="26"/>
      <c r="DA462" s="26"/>
      <c r="DB462" s="26"/>
      <c r="DC462" s="26"/>
      <c r="DD462" s="26"/>
    </row>
    <row r="463" spans="59:108" x14ac:dyDescent="0.2">
      <c r="BG463" s="26"/>
      <c r="BH463" s="26"/>
      <c r="BI463" s="26"/>
      <c r="BJ463" s="26"/>
      <c r="BK463" s="26"/>
      <c r="BL463" s="26"/>
      <c r="BM463" s="26"/>
      <c r="BN463" s="26"/>
      <c r="BO463" s="26"/>
      <c r="BP463" s="26"/>
      <c r="BQ463" s="26"/>
      <c r="BR463" s="26"/>
      <c r="BS463" s="26"/>
      <c r="BT463" s="26"/>
      <c r="BU463" s="26"/>
      <c r="BV463" s="26"/>
      <c r="BW463" s="26"/>
      <c r="BX463" s="26"/>
      <c r="BY463" s="26"/>
      <c r="BZ463" s="26"/>
      <c r="CA463" s="26"/>
      <c r="CB463" s="26"/>
      <c r="CC463" s="26"/>
      <c r="CD463" s="26"/>
      <c r="CE463" s="26"/>
      <c r="CF463" s="26"/>
      <c r="CG463" s="26"/>
      <c r="CH463" s="26"/>
      <c r="CI463" s="26"/>
      <c r="CJ463" s="26"/>
      <c r="CK463" s="26"/>
      <c r="CL463" s="26"/>
      <c r="CM463" s="26"/>
      <c r="CN463" s="26"/>
      <c r="CO463" s="26"/>
      <c r="CP463" s="26"/>
      <c r="CQ463" s="26"/>
      <c r="CR463" s="26"/>
      <c r="CS463" s="26"/>
      <c r="CT463" s="26"/>
      <c r="CU463" s="26"/>
      <c r="CV463" s="26"/>
      <c r="CW463" s="26"/>
      <c r="CX463" s="26"/>
      <c r="CY463" s="26"/>
      <c r="CZ463" s="26"/>
      <c r="DA463" s="26"/>
      <c r="DB463" s="26"/>
      <c r="DC463" s="26"/>
      <c r="DD463" s="26"/>
    </row>
    <row r="464" spans="59:108" x14ac:dyDescent="0.2">
      <c r="BG464" s="26"/>
      <c r="BH464" s="26"/>
      <c r="BI464" s="26"/>
      <c r="BJ464" s="26"/>
      <c r="BK464" s="26"/>
      <c r="BL464" s="26"/>
      <c r="BM464" s="26"/>
      <c r="BN464" s="26"/>
      <c r="BO464" s="26"/>
      <c r="BP464" s="26"/>
      <c r="BQ464" s="26"/>
      <c r="BR464" s="26"/>
      <c r="BS464" s="26"/>
      <c r="BT464" s="26"/>
      <c r="BU464" s="26"/>
      <c r="BV464" s="26"/>
      <c r="BW464" s="26"/>
      <c r="BX464" s="26"/>
      <c r="BY464" s="26"/>
      <c r="BZ464" s="26"/>
      <c r="CA464" s="26"/>
      <c r="CB464" s="26"/>
      <c r="CC464" s="26"/>
      <c r="CD464" s="26"/>
      <c r="CE464" s="26"/>
      <c r="CF464" s="26"/>
      <c r="CG464" s="26"/>
      <c r="CH464" s="26"/>
      <c r="CI464" s="26"/>
      <c r="CJ464" s="26"/>
      <c r="CK464" s="26"/>
      <c r="CL464" s="26"/>
      <c r="CM464" s="26"/>
      <c r="CN464" s="26"/>
      <c r="CO464" s="26"/>
      <c r="CP464" s="26"/>
      <c r="CQ464" s="26"/>
      <c r="CR464" s="26"/>
      <c r="CS464" s="26"/>
      <c r="CT464" s="26"/>
      <c r="CU464" s="26"/>
      <c r="CV464" s="26"/>
      <c r="CW464" s="26"/>
      <c r="CX464" s="26"/>
      <c r="CY464" s="26"/>
      <c r="CZ464" s="26"/>
      <c r="DA464" s="26"/>
      <c r="DB464" s="26"/>
      <c r="DC464" s="26"/>
      <c r="DD464" s="26"/>
    </row>
    <row r="465" spans="59:108" x14ac:dyDescent="0.2">
      <c r="BG465" s="26"/>
      <c r="BH465" s="26"/>
      <c r="BI465" s="26"/>
      <c r="BJ465" s="26"/>
      <c r="BK465" s="26"/>
      <c r="BL465" s="26"/>
      <c r="BM465" s="26"/>
      <c r="BN465" s="26"/>
      <c r="BO465" s="26"/>
      <c r="BP465" s="26"/>
      <c r="BQ465" s="26"/>
      <c r="BR465" s="26"/>
      <c r="BS465" s="26"/>
      <c r="BT465" s="26"/>
      <c r="BU465" s="26"/>
      <c r="BV465" s="26"/>
      <c r="BW465" s="26"/>
      <c r="BX465" s="26"/>
      <c r="BY465" s="26"/>
      <c r="BZ465" s="26"/>
      <c r="CA465" s="26"/>
      <c r="CB465" s="26"/>
      <c r="CC465" s="26"/>
      <c r="CD465" s="26"/>
      <c r="CE465" s="26"/>
      <c r="CF465" s="26"/>
      <c r="CG465" s="26"/>
      <c r="CH465" s="26"/>
      <c r="CI465" s="26"/>
      <c r="CJ465" s="26"/>
      <c r="CK465" s="26"/>
      <c r="CL465" s="26"/>
      <c r="CM465" s="26"/>
      <c r="CN465" s="26"/>
      <c r="CO465" s="26"/>
      <c r="CP465" s="26"/>
      <c r="CQ465" s="26"/>
      <c r="CR465" s="26"/>
      <c r="CS465" s="26"/>
      <c r="CT465" s="26"/>
      <c r="CU465" s="26"/>
      <c r="CV465" s="26"/>
      <c r="CW465" s="26"/>
      <c r="CX465" s="26"/>
      <c r="CY465" s="26"/>
      <c r="CZ465" s="26"/>
      <c r="DA465" s="26"/>
      <c r="DB465" s="26"/>
      <c r="DC465" s="26"/>
      <c r="DD465" s="26"/>
    </row>
    <row r="466" spans="59:108" x14ac:dyDescent="0.2">
      <c r="BG466" s="26"/>
      <c r="BH466" s="26"/>
      <c r="BI466" s="26"/>
      <c r="BJ466" s="26"/>
      <c r="BK466" s="26"/>
      <c r="BL466" s="26"/>
      <c r="BM466" s="26"/>
      <c r="BN466" s="26"/>
      <c r="BO466" s="26"/>
      <c r="BP466" s="26"/>
      <c r="BQ466" s="26"/>
      <c r="BR466" s="26"/>
      <c r="BS466" s="26"/>
      <c r="BT466" s="26"/>
      <c r="BU466" s="26"/>
      <c r="BV466" s="26"/>
      <c r="BW466" s="26"/>
      <c r="BX466" s="26"/>
      <c r="BY466" s="26"/>
      <c r="BZ466" s="26"/>
      <c r="CA466" s="26"/>
      <c r="CB466" s="26"/>
      <c r="CC466" s="26"/>
      <c r="CD466" s="26"/>
      <c r="CE466" s="26"/>
      <c r="CF466" s="26"/>
      <c r="CG466" s="26"/>
      <c r="CH466" s="26"/>
      <c r="CI466" s="26"/>
      <c r="CJ466" s="26"/>
      <c r="CK466" s="26"/>
      <c r="CL466" s="26"/>
      <c r="CM466" s="26"/>
      <c r="CN466" s="26"/>
      <c r="CO466" s="26"/>
      <c r="CP466" s="26"/>
      <c r="CQ466" s="26"/>
      <c r="CR466" s="26"/>
      <c r="CS466" s="26"/>
      <c r="CT466" s="26"/>
      <c r="CU466" s="26"/>
      <c r="CV466" s="26"/>
      <c r="CW466" s="26"/>
      <c r="CX466" s="26"/>
      <c r="CY466" s="26"/>
      <c r="CZ466" s="26"/>
      <c r="DA466" s="26"/>
      <c r="DB466" s="26"/>
      <c r="DC466" s="26"/>
      <c r="DD466" s="26"/>
    </row>
    <row r="467" spans="59:108" x14ac:dyDescent="0.2">
      <c r="BG467" s="26"/>
      <c r="BH467" s="26"/>
      <c r="BI467" s="26"/>
      <c r="BJ467" s="26"/>
      <c r="BK467" s="26"/>
      <c r="BL467" s="26"/>
      <c r="BM467" s="26"/>
      <c r="BN467" s="26"/>
      <c r="BO467" s="26"/>
      <c r="BP467" s="26"/>
      <c r="BQ467" s="26"/>
      <c r="BR467" s="26"/>
      <c r="BS467" s="26"/>
      <c r="BT467" s="26"/>
      <c r="BU467" s="26"/>
      <c r="BV467" s="26"/>
      <c r="BW467" s="26"/>
      <c r="BX467" s="26"/>
      <c r="BY467" s="26"/>
      <c r="BZ467" s="26"/>
      <c r="CA467" s="26"/>
      <c r="CB467" s="26"/>
      <c r="CC467" s="26"/>
      <c r="CD467" s="26"/>
      <c r="CE467" s="26"/>
      <c r="CF467" s="26"/>
      <c r="CG467" s="26"/>
      <c r="CH467" s="26"/>
      <c r="CI467" s="26"/>
      <c r="CJ467" s="26"/>
      <c r="CK467" s="26"/>
      <c r="CL467" s="26"/>
      <c r="CM467" s="26"/>
      <c r="CN467" s="26"/>
      <c r="CO467" s="26"/>
      <c r="CP467" s="26"/>
      <c r="CQ467" s="26"/>
      <c r="CR467" s="26"/>
      <c r="CS467" s="26"/>
      <c r="CT467" s="26"/>
      <c r="CU467" s="26"/>
      <c r="CV467" s="26"/>
      <c r="CW467" s="26"/>
      <c r="CX467" s="26"/>
      <c r="CY467" s="26"/>
      <c r="CZ467" s="26"/>
      <c r="DA467" s="26"/>
      <c r="DB467" s="26"/>
      <c r="DC467" s="26"/>
      <c r="DD467" s="26"/>
    </row>
    <row r="468" spans="59:108" x14ac:dyDescent="0.2">
      <c r="BG468" s="26"/>
      <c r="BH468" s="26"/>
      <c r="BI468" s="26"/>
      <c r="BJ468" s="26"/>
      <c r="BK468" s="26"/>
      <c r="BL468" s="26"/>
      <c r="BM468" s="26"/>
      <c r="BN468" s="26"/>
      <c r="BO468" s="26"/>
      <c r="BP468" s="26"/>
      <c r="BQ468" s="26"/>
      <c r="BR468" s="26"/>
      <c r="BS468" s="26"/>
      <c r="BT468" s="26"/>
      <c r="BU468" s="26"/>
      <c r="BV468" s="26"/>
      <c r="BW468" s="26"/>
      <c r="BX468" s="26"/>
      <c r="BY468" s="26"/>
      <c r="BZ468" s="26"/>
      <c r="CA468" s="26"/>
      <c r="CB468" s="26"/>
      <c r="CC468" s="26"/>
      <c r="CD468" s="26"/>
      <c r="CE468" s="26"/>
      <c r="CF468" s="26"/>
      <c r="CG468" s="26"/>
      <c r="CH468" s="26"/>
      <c r="CI468" s="26"/>
      <c r="CJ468" s="26"/>
      <c r="CK468" s="26"/>
      <c r="CL468" s="26"/>
      <c r="CM468" s="26"/>
      <c r="CN468" s="26"/>
      <c r="CO468" s="26"/>
      <c r="CP468" s="26"/>
      <c r="CQ468" s="26"/>
      <c r="CR468" s="26"/>
      <c r="CS468" s="26"/>
      <c r="CT468" s="26"/>
      <c r="CU468" s="26"/>
      <c r="CV468" s="26"/>
      <c r="CW468" s="26"/>
      <c r="CX468" s="26"/>
      <c r="CY468" s="26"/>
      <c r="CZ468" s="26"/>
      <c r="DA468" s="26"/>
      <c r="DB468" s="26"/>
      <c r="DC468" s="26"/>
      <c r="DD468" s="26"/>
    </row>
    <row r="469" spans="59:108" x14ac:dyDescent="0.2">
      <c r="BG469" s="26"/>
      <c r="BH469" s="26"/>
      <c r="BI469" s="26"/>
      <c r="BJ469" s="26"/>
      <c r="BK469" s="26"/>
      <c r="BL469" s="26"/>
      <c r="BM469" s="26"/>
      <c r="BN469" s="26"/>
      <c r="BO469" s="26"/>
      <c r="BP469" s="26"/>
      <c r="BQ469" s="26"/>
      <c r="BR469" s="26"/>
      <c r="BS469" s="26"/>
      <c r="BT469" s="26"/>
      <c r="BU469" s="26"/>
      <c r="BV469" s="26"/>
      <c r="BW469" s="26"/>
      <c r="BX469" s="26"/>
      <c r="BY469" s="26"/>
      <c r="BZ469" s="26"/>
      <c r="CA469" s="26"/>
      <c r="CB469" s="26"/>
      <c r="CC469" s="26"/>
      <c r="CD469" s="26"/>
      <c r="CE469" s="26"/>
      <c r="CF469" s="26"/>
      <c r="CG469" s="26"/>
      <c r="CH469" s="26"/>
      <c r="CI469" s="26"/>
      <c r="CJ469" s="26"/>
      <c r="CK469" s="26"/>
      <c r="CL469" s="26"/>
      <c r="CM469" s="26"/>
      <c r="CN469" s="26"/>
      <c r="CO469" s="26"/>
      <c r="CP469" s="26"/>
      <c r="CQ469" s="26"/>
      <c r="CR469" s="26"/>
      <c r="CS469" s="26"/>
      <c r="CT469" s="26"/>
      <c r="CU469" s="26"/>
      <c r="CV469" s="26"/>
      <c r="CW469" s="26"/>
      <c r="CX469" s="26"/>
      <c r="CY469" s="26"/>
      <c r="CZ469" s="26"/>
      <c r="DA469" s="26"/>
      <c r="DB469" s="26"/>
      <c r="DC469" s="26"/>
      <c r="DD469" s="26"/>
    </row>
    <row r="470" spans="59:108" x14ac:dyDescent="0.2">
      <c r="BG470" s="26"/>
      <c r="BH470" s="26"/>
      <c r="BI470" s="26"/>
      <c r="BJ470" s="26"/>
      <c r="BK470" s="26"/>
      <c r="BL470" s="26"/>
      <c r="BM470" s="26"/>
      <c r="BN470" s="26"/>
      <c r="BO470" s="26"/>
      <c r="BP470" s="26"/>
      <c r="BQ470" s="26"/>
      <c r="BR470" s="26"/>
      <c r="BS470" s="26"/>
      <c r="BT470" s="26"/>
      <c r="BU470" s="26"/>
      <c r="BV470" s="26"/>
      <c r="BW470" s="26"/>
      <c r="BX470" s="26"/>
      <c r="BY470" s="26"/>
      <c r="BZ470" s="26"/>
      <c r="CA470" s="26"/>
      <c r="CB470" s="26"/>
      <c r="CC470" s="26"/>
      <c r="CD470" s="26"/>
      <c r="CE470" s="26"/>
      <c r="CF470" s="26"/>
      <c r="CG470" s="26"/>
      <c r="CH470" s="26"/>
      <c r="CI470" s="26"/>
      <c r="CJ470" s="26"/>
      <c r="CK470" s="26"/>
      <c r="CL470" s="26"/>
      <c r="CM470" s="26"/>
      <c r="CN470" s="26"/>
      <c r="CO470" s="26"/>
      <c r="CP470" s="26"/>
      <c r="CQ470" s="26"/>
      <c r="CR470" s="26"/>
      <c r="CS470" s="26"/>
      <c r="CT470" s="26"/>
      <c r="CU470" s="26"/>
      <c r="CV470" s="26"/>
      <c r="CW470" s="26"/>
      <c r="CX470" s="26"/>
      <c r="CY470" s="26"/>
      <c r="CZ470" s="26"/>
      <c r="DA470" s="26"/>
      <c r="DB470" s="26"/>
      <c r="DC470" s="26"/>
      <c r="DD470" s="26"/>
    </row>
    <row r="471" spans="59:108" x14ac:dyDescent="0.2">
      <c r="BG471" s="26"/>
      <c r="BH471" s="26"/>
      <c r="BI471" s="26"/>
      <c r="BJ471" s="26"/>
      <c r="BK471" s="26"/>
      <c r="BL471" s="26"/>
      <c r="BM471" s="26"/>
      <c r="BN471" s="26"/>
      <c r="BO471" s="26"/>
      <c r="BP471" s="26"/>
      <c r="BQ471" s="26"/>
      <c r="BR471" s="26"/>
      <c r="BS471" s="26"/>
      <c r="BT471" s="26"/>
      <c r="BU471" s="26"/>
      <c r="BV471" s="26"/>
      <c r="BW471" s="26"/>
      <c r="BX471" s="26"/>
      <c r="BY471" s="26"/>
      <c r="BZ471" s="26"/>
      <c r="CA471" s="26"/>
      <c r="CB471" s="26"/>
      <c r="CC471" s="26"/>
      <c r="CD471" s="26"/>
      <c r="CE471" s="26"/>
      <c r="CF471" s="26"/>
      <c r="CG471" s="26"/>
      <c r="CH471" s="26"/>
      <c r="CI471" s="26"/>
      <c r="CJ471" s="26"/>
      <c r="CK471" s="26"/>
      <c r="CL471" s="26"/>
      <c r="CM471" s="26"/>
      <c r="CN471" s="26"/>
      <c r="CO471" s="26"/>
      <c r="CP471" s="26"/>
      <c r="CQ471" s="26"/>
      <c r="CR471" s="26"/>
      <c r="CS471" s="26"/>
      <c r="CT471" s="26"/>
      <c r="CU471" s="26"/>
      <c r="CV471" s="26"/>
      <c r="CW471" s="26"/>
      <c r="CX471" s="26"/>
      <c r="CY471" s="26"/>
      <c r="CZ471" s="26"/>
      <c r="DA471" s="26"/>
      <c r="DB471" s="26"/>
      <c r="DC471" s="26"/>
      <c r="DD471" s="26"/>
    </row>
    <row r="472" spans="59:108" x14ac:dyDescent="0.2">
      <c r="BG472" s="26"/>
      <c r="BH472" s="26"/>
      <c r="BI472" s="26"/>
      <c r="BJ472" s="26"/>
      <c r="BK472" s="26"/>
      <c r="BL472" s="26"/>
      <c r="BM472" s="26"/>
      <c r="BN472" s="26"/>
      <c r="BO472" s="26"/>
      <c r="BP472" s="26"/>
      <c r="BQ472" s="26"/>
      <c r="BR472" s="26"/>
      <c r="BS472" s="26"/>
      <c r="BT472" s="26"/>
      <c r="BU472" s="26"/>
      <c r="BV472" s="26"/>
      <c r="BW472" s="26"/>
      <c r="BX472" s="26"/>
      <c r="BY472" s="26"/>
      <c r="BZ472" s="26"/>
      <c r="CA472" s="26"/>
      <c r="CB472" s="26"/>
      <c r="CC472" s="26"/>
      <c r="CD472" s="26"/>
      <c r="CE472" s="26"/>
      <c r="CF472" s="26"/>
      <c r="CG472" s="26"/>
      <c r="CH472" s="26"/>
      <c r="CI472" s="26"/>
      <c r="CJ472" s="26"/>
      <c r="CK472" s="26"/>
      <c r="CL472" s="26"/>
      <c r="CM472" s="26"/>
      <c r="CN472" s="26"/>
      <c r="CO472" s="26"/>
      <c r="CP472" s="26"/>
      <c r="CQ472" s="26"/>
      <c r="CR472" s="26"/>
      <c r="CS472" s="26"/>
      <c r="CT472" s="26"/>
      <c r="CU472" s="26"/>
      <c r="CV472" s="26"/>
      <c r="CW472" s="26"/>
      <c r="CX472" s="26"/>
      <c r="CY472" s="26"/>
      <c r="CZ472" s="26"/>
      <c r="DA472" s="26"/>
      <c r="DB472" s="26"/>
      <c r="DC472" s="26"/>
      <c r="DD472" s="26"/>
    </row>
    <row r="473" spans="59:108" x14ac:dyDescent="0.2">
      <c r="BG473" s="26"/>
      <c r="BH473" s="26"/>
      <c r="BI473" s="26"/>
      <c r="BJ473" s="26"/>
      <c r="BK473" s="26"/>
      <c r="BL473" s="26"/>
      <c r="BM473" s="26"/>
      <c r="BN473" s="26"/>
      <c r="BO473" s="26"/>
      <c r="BP473" s="26"/>
      <c r="BQ473" s="26"/>
      <c r="BR473" s="26"/>
      <c r="BS473" s="26"/>
      <c r="BT473" s="26"/>
      <c r="BU473" s="26"/>
      <c r="BV473" s="26"/>
      <c r="BW473" s="26"/>
      <c r="BX473" s="26"/>
      <c r="BY473" s="26"/>
      <c r="BZ473" s="26"/>
      <c r="CA473" s="26"/>
      <c r="CB473" s="26"/>
      <c r="CC473" s="26"/>
      <c r="CD473" s="26"/>
      <c r="CE473" s="26"/>
      <c r="CF473" s="26"/>
      <c r="CG473" s="26"/>
      <c r="CH473" s="26"/>
      <c r="CI473" s="26"/>
      <c r="CJ473" s="26"/>
      <c r="CK473" s="26"/>
      <c r="CL473" s="26"/>
      <c r="CM473" s="26"/>
      <c r="CN473" s="26"/>
      <c r="CO473" s="26"/>
      <c r="CP473" s="26"/>
      <c r="CQ473" s="26"/>
      <c r="CR473" s="26"/>
      <c r="CS473" s="26"/>
      <c r="CT473" s="26"/>
      <c r="CU473" s="26"/>
      <c r="CV473" s="26"/>
      <c r="CW473" s="26"/>
      <c r="CX473" s="26"/>
      <c r="CY473" s="26"/>
      <c r="CZ473" s="26"/>
      <c r="DA473" s="26"/>
      <c r="DB473" s="26"/>
      <c r="DC473" s="26"/>
      <c r="DD473" s="26"/>
    </row>
    <row r="474" spans="59:108" x14ac:dyDescent="0.2">
      <c r="BG474" s="26"/>
      <c r="BH474" s="26"/>
      <c r="BI474" s="26"/>
      <c r="BJ474" s="26"/>
      <c r="BK474" s="26"/>
      <c r="BL474" s="26"/>
      <c r="BM474" s="26"/>
      <c r="BN474" s="26"/>
      <c r="BO474" s="26"/>
      <c r="BP474" s="26"/>
      <c r="BQ474" s="26"/>
      <c r="BR474" s="26"/>
      <c r="BS474" s="26"/>
      <c r="BT474" s="26"/>
      <c r="BU474" s="26"/>
      <c r="BV474" s="26"/>
      <c r="BW474" s="26"/>
      <c r="BX474" s="26"/>
      <c r="BY474" s="26"/>
      <c r="BZ474" s="26"/>
      <c r="CA474" s="26"/>
      <c r="CB474" s="26"/>
      <c r="CC474" s="26"/>
      <c r="CD474" s="26"/>
      <c r="CE474" s="26"/>
      <c r="CF474" s="26"/>
      <c r="CG474" s="26"/>
      <c r="CH474" s="26"/>
      <c r="CI474" s="26"/>
      <c r="CJ474" s="26"/>
      <c r="CK474" s="26"/>
      <c r="CL474" s="26"/>
      <c r="CM474" s="26"/>
      <c r="CN474" s="26"/>
      <c r="CO474" s="26"/>
      <c r="CP474" s="26"/>
      <c r="CQ474" s="26"/>
      <c r="CR474" s="26"/>
      <c r="CS474" s="26"/>
      <c r="CT474" s="26"/>
      <c r="CU474" s="26"/>
      <c r="CV474" s="26"/>
      <c r="CW474" s="26"/>
      <c r="CX474" s="26"/>
      <c r="CY474" s="26"/>
      <c r="CZ474" s="26"/>
      <c r="DA474" s="26"/>
      <c r="DB474" s="26"/>
      <c r="DC474" s="26"/>
      <c r="DD474" s="26"/>
    </row>
    <row r="475" spans="59:108" x14ac:dyDescent="0.2">
      <c r="BG475" s="26"/>
      <c r="BH475" s="26"/>
      <c r="BI475" s="26"/>
      <c r="BJ475" s="26"/>
      <c r="BK475" s="26"/>
      <c r="BL475" s="26"/>
      <c r="BM475" s="26"/>
      <c r="BN475" s="26"/>
      <c r="BO475" s="26"/>
      <c r="BP475" s="26"/>
      <c r="BQ475" s="26"/>
      <c r="BR475" s="26"/>
      <c r="BS475" s="26"/>
      <c r="BT475" s="26"/>
      <c r="BU475" s="26"/>
      <c r="BV475" s="26"/>
      <c r="BW475" s="26"/>
      <c r="BX475" s="26"/>
      <c r="BY475" s="26"/>
      <c r="BZ475" s="26"/>
      <c r="CA475" s="26"/>
      <c r="CB475" s="26"/>
      <c r="CC475" s="26"/>
      <c r="CD475" s="26"/>
      <c r="CE475" s="26"/>
      <c r="CF475" s="26"/>
      <c r="CG475" s="26"/>
      <c r="CH475" s="26"/>
      <c r="CI475" s="26"/>
      <c r="CJ475" s="26"/>
      <c r="CK475" s="26"/>
      <c r="CL475" s="26"/>
      <c r="CM475" s="26"/>
      <c r="CN475" s="26"/>
      <c r="CO475" s="26"/>
      <c r="CP475" s="26"/>
      <c r="CQ475" s="26"/>
      <c r="CR475" s="26"/>
      <c r="CS475" s="26"/>
      <c r="CT475" s="26"/>
      <c r="CU475" s="26"/>
      <c r="CV475" s="26"/>
      <c r="CW475" s="26"/>
      <c r="CX475" s="26"/>
      <c r="CY475" s="26"/>
      <c r="CZ475" s="26"/>
      <c r="DA475" s="26"/>
      <c r="DB475" s="26"/>
      <c r="DC475" s="26"/>
      <c r="DD475" s="26"/>
    </row>
    <row r="476" spans="59:108" x14ac:dyDescent="0.2">
      <c r="BG476" s="26"/>
      <c r="BH476" s="26"/>
      <c r="BI476" s="26"/>
      <c r="BJ476" s="26"/>
      <c r="BK476" s="26"/>
      <c r="BL476" s="26"/>
      <c r="BM476" s="26"/>
      <c r="BN476" s="26"/>
      <c r="BO476" s="26"/>
      <c r="BP476" s="26"/>
      <c r="BQ476" s="26"/>
      <c r="BR476" s="26"/>
      <c r="BS476" s="26"/>
      <c r="BT476" s="26"/>
      <c r="BU476" s="26"/>
      <c r="BV476" s="26"/>
      <c r="BW476" s="26"/>
      <c r="BX476" s="26"/>
      <c r="BY476" s="26"/>
      <c r="BZ476" s="26"/>
      <c r="CA476" s="26"/>
      <c r="CB476" s="26"/>
      <c r="CC476" s="26"/>
      <c r="CD476" s="26"/>
      <c r="CE476" s="26"/>
      <c r="CF476" s="26"/>
      <c r="CG476" s="26"/>
      <c r="CH476" s="26"/>
      <c r="CI476" s="26"/>
      <c r="CJ476" s="26"/>
      <c r="CK476" s="26"/>
      <c r="CL476" s="26"/>
      <c r="CM476" s="26"/>
      <c r="CN476" s="26"/>
      <c r="CO476" s="26"/>
      <c r="CP476" s="26"/>
      <c r="CQ476" s="26"/>
      <c r="CR476" s="26"/>
      <c r="CS476" s="26"/>
      <c r="CT476" s="26"/>
      <c r="CU476" s="26"/>
      <c r="CV476" s="26"/>
      <c r="CW476" s="26"/>
      <c r="CX476" s="26"/>
      <c r="CY476" s="26"/>
      <c r="CZ476" s="26"/>
      <c r="DA476" s="26"/>
      <c r="DB476" s="26"/>
      <c r="DC476" s="26"/>
      <c r="DD476" s="26"/>
    </row>
    <row r="477" spans="59:108" x14ac:dyDescent="0.2">
      <c r="BG477" s="26"/>
      <c r="BH477" s="26"/>
      <c r="BI477" s="26"/>
      <c r="BJ477" s="26"/>
      <c r="BK477" s="26"/>
      <c r="BL477" s="26"/>
      <c r="BM477" s="26"/>
      <c r="BN477" s="26"/>
      <c r="BO477" s="26"/>
      <c r="BP477" s="26"/>
      <c r="BQ477" s="26"/>
      <c r="BR477" s="26"/>
      <c r="BS477" s="26"/>
      <c r="BT477" s="26"/>
      <c r="BU477" s="26"/>
      <c r="BV477" s="26"/>
      <c r="BW477" s="26"/>
      <c r="BX477" s="26"/>
      <c r="BY477" s="26"/>
      <c r="BZ477" s="26"/>
      <c r="CA477" s="26"/>
      <c r="CB477" s="26"/>
      <c r="CC477" s="26"/>
      <c r="CD477" s="26"/>
      <c r="CE477" s="26"/>
      <c r="CF477" s="26"/>
      <c r="CG477" s="26"/>
      <c r="CH477" s="26"/>
      <c r="CI477" s="26"/>
      <c r="CJ477" s="26"/>
      <c r="CK477" s="26"/>
      <c r="CL477" s="26"/>
      <c r="CM477" s="26"/>
      <c r="CN477" s="26"/>
      <c r="CO477" s="26"/>
      <c r="CP477" s="26"/>
      <c r="CQ477" s="26"/>
      <c r="CR477" s="26"/>
      <c r="CS477" s="26"/>
      <c r="CT477" s="26"/>
      <c r="CU477" s="26"/>
      <c r="CV477" s="26"/>
      <c r="CW477" s="26"/>
      <c r="CX477" s="26"/>
      <c r="CY477" s="26"/>
      <c r="CZ477" s="26"/>
      <c r="DA477" s="26"/>
      <c r="DB477" s="26"/>
      <c r="DC477" s="26"/>
      <c r="DD477" s="26"/>
    </row>
    <row r="478" spans="59:108" x14ac:dyDescent="0.2">
      <c r="BG478" s="26"/>
      <c r="BH478" s="26"/>
      <c r="BI478" s="26"/>
      <c r="BJ478" s="26"/>
      <c r="BK478" s="26"/>
      <c r="BL478" s="26"/>
      <c r="BM478" s="26"/>
      <c r="BN478" s="26"/>
      <c r="BO478" s="26"/>
      <c r="BP478" s="26"/>
      <c r="BQ478" s="26"/>
      <c r="BR478" s="26"/>
      <c r="BS478" s="26"/>
      <c r="BT478" s="26"/>
      <c r="BU478" s="26"/>
      <c r="BV478" s="26"/>
      <c r="BW478" s="26"/>
      <c r="BX478" s="26"/>
      <c r="BY478" s="26"/>
      <c r="BZ478" s="26"/>
      <c r="CA478" s="26"/>
      <c r="CB478" s="26"/>
      <c r="CC478" s="26"/>
      <c r="CD478" s="26"/>
      <c r="CE478" s="26"/>
      <c r="CF478" s="26"/>
      <c r="CG478" s="26"/>
      <c r="CH478" s="26"/>
      <c r="CI478" s="26"/>
      <c r="CJ478" s="26"/>
      <c r="CK478" s="26"/>
      <c r="CL478" s="26"/>
      <c r="CM478" s="26"/>
      <c r="CN478" s="26"/>
      <c r="CO478" s="26"/>
      <c r="CP478" s="26"/>
      <c r="CQ478" s="26"/>
      <c r="CR478" s="26"/>
      <c r="CS478" s="26"/>
      <c r="CT478" s="26"/>
      <c r="CU478" s="26"/>
      <c r="CV478" s="26"/>
      <c r="CW478" s="26"/>
      <c r="CX478" s="26"/>
      <c r="CY478" s="26"/>
      <c r="CZ478" s="26"/>
      <c r="DA478" s="26"/>
      <c r="DB478" s="26"/>
      <c r="DC478" s="26"/>
      <c r="DD478" s="26"/>
    </row>
    <row r="479" spans="59:108" x14ac:dyDescent="0.2">
      <c r="BG479" s="26"/>
      <c r="BH479" s="26"/>
      <c r="BI479" s="26"/>
      <c r="BJ479" s="26"/>
      <c r="BK479" s="26"/>
      <c r="BL479" s="26"/>
      <c r="BM479" s="26"/>
      <c r="BN479" s="26"/>
      <c r="BO479" s="26"/>
      <c r="BP479" s="26"/>
      <c r="BQ479" s="26"/>
      <c r="BR479" s="26"/>
      <c r="BS479" s="26"/>
      <c r="BT479" s="26"/>
      <c r="BU479" s="26"/>
      <c r="BV479" s="26"/>
      <c r="BW479" s="26"/>
      <c r="BX479" s="26"/>
      <c r="BY479" s="26"/>
      <c r="BZ479" s="26"/>
      <c r="CA479" s="26"/>
      <c r="CB479" s="26"/>
      <c r="CC479" s="26"/>
      <c r="CD479" s="26"/>
      <c r="CE479" s="26"/>
      <c r="CF479" s="26"/>
      <c r="CG479" s="26"/>
      <c r="CH479" s="26"/>
      <c r="CI479" s="26"/>
      <c r="CJ479" s="26"/>
      <c r="CK479" s="26"/>
      <c r="CL479" s="26"/>
      <c r="CM479" s="26"/>
      <c r="CN479" s="26"/>
      <c r="CO479" s="26"/>
      <c r="CP479" s="26"/>
      <c r="CQ479" s="26"/>
      <c r="CR479" s="26"/>
      <c r="CS479" s="26"/>
      <c r="CT479" s="26"/>
      <c r="CU479" s="26"/>
      <c r="CV479" s="26"/>
      <c r="CW479" s="26"/>
      <c r="CX479" s="26"/>
      <c r="CY479" s="26"/>
      <c r="CZ479" s="26"/>
      <c r="DA479" s="26"/>
      <c r="DB479" s="26"/>
      <c r="DC479" s="26"/>
      <c r="DD479" s="26"/>
    </row>
    <row r="480" spans="59:108" x14ac:dyDescent="0.2">
      <c r="BG480" s="26"/>
      <c r="BH480" s="26"/>
      <c r="BI480" s="26"/>
      <c r="BJ480" s="26"/>
      <c r="BK480" s="26"/>
      <c r="BL480" s="26"/>
      <c r="BM480" s="26"/>
      <c r="BN480" s="26"/>
      <c r="BO480" s="26"/>
      <c r="BP480" s="26"/>
      <c r="BQ480" s="26"/>
      <c r="BR480" s="26"/>
      <c r="BS480" s="26"/>
      <c r="BT480" s="26"/>
      <c r="BU480" s="26"/>
      <c r="BV480" s="26"/>
      <c r="BW480" s="26"/>
      <c r="BX480" s="26"/>
      <c r="BY480" s="26"/>
      <c r="BZ480" s="26"/>
      <c r="CA480" s="26"/>
      <c r="CB480" s="26"/>
      <c r="CC480" s="26"/>
      <c r="CD480" s="26"/>
      <c r="CE480" s="26"/>
      <c r="CF480" s="26"/>
      <c r="CG480" s="26"/>
      <c r="CH480" s="26"/>
      <c r="CI480" s="26"/>
      <c r="CJ480" s="26"/>
      <c r="CK480" s="26"/>
      <c r="CL480" s="26"/>
      <c r="CM480" s="26"/>
      <c r="CN480" s="26"/>
      <c r="CO480" s="26"/>
      <c r="CP480" s="26"/>
      <c r="CQ480" s="26"/>
      <c r="CR480" s="26"/>
      <c r="CS480" s="26"/>
      <c r="CT480" s="26"/>
      <c r="CU480" s="26"/>
      <c r="CV480" s="26"/>
      <c r="CW480" s="26"/>
      <c r="CX480" s="26"/>
      <c r="CY480" s="26"/>
      <c r="CZ480" s="26"/>
      <c r="DA480" s="26"/>
      <c r="DB480" s="26"/>
      <c r="DC480" s="26"/>
      <c r="DD480" s="26"/>
    </row>
    <row r="481" spans="59:108" x14ac:dyDescent="0.2">
      <c r="BG481" s="26"/>
      <c r="BH481" s="26"/>
      <c r="BI481" s="26"/>
      <c r="BJ481" s="26"/>
      <c r="BK481" s="26"/>
      <c r="BL481" s="26"/>
      <c r="BM481" s="26"/>
      <c r="BN481" s="26"/>
      <c r="BO481" s="26"/>
      <c r="BP481" s="26"/>
      <c r="BQ481" s="26"/>
      <c r="BR481" s="26"/>
      <c r="BS481" s="26"/>
      <c r="BT481" s="26"/>
      <c r="BU481" s="26"/>
      <c r="BV481" s="26"/>
      <c r="BW481" s="26"/>
      <c r="BX481" s="26"/>
      <c r="BY481" s="26"/>
      <c r="BZ481" s="26"/>
      <c r="CA481" s="26"/>
      <c r="CB481" s="26"/>
      <c r="CC481" s="26"/>
      <c r="CD481" s="26"/>
      <c r="CE481" s="26"/>
      <c r="CF481" s="26"/>
      <c r="CG481" s="26"/>
      <c r="CH481" s="26"/>
      <c r="CI481" s="26"/>
      <c r="CJ481" s="26"/>
      <c r="CK481" s="26"/>
      <c r="CL481" s="26"/>
      <c r="CM481" s="26"/>
      <c r="CN481" s="26"/>
      <c r="CO481" s="26"/>
      <c r="CP481" s="26"/>
      <c r="CQ481" s="26"/>
      <c r="CR481" s="26"/>
      <c r="CS481" s="26"/>
      <c r="CT481" s="26"/>
      <c r="CU481" s="26"/>
      <c r="CV481" s="26"/>
      <c r="CW481" s="26"/>
      <c r="CX481" s="26"/>
      <c r="CY481" s="26"/>
      <c r="CZ481" s="26"/>
      <c r="DA481" s="26"/>
      <c r="DB481" s="26"/>
      <c r="DC481" s="26"/>
      <c r="DD481" s="26"/>
    </row>
    <row r="482" spans="59:108" x14ac:dyDescent="0.2">
      <c r="BG482" s="26"/>
      <c r="BH482" s="26"/>
      <c r="BI482" s="26"/>
      <c r="BJ482" s="26"/>
      <c r="BK482" s="26"/>
      <c r="BL482" s="26"/>
      <c r="BM482" s="26"/>
      <c r="BN482" s="26"/>
      <c r="BO482" s="26"/>
      <c r="BP482" s="26"/>
      <c r="BQ482" s="26"/>
      <c r="BR482" s="26"/>
      <c r="BS482" s="26"/>
      <c r="BT482" s="26"/>
      <c r="BU482" s="26"/>
      <c r="BV482" s="26"/>
      <c r="BW482" s="26"/>
      <c r="BX482" s="26"/>
      <c r="BY482" s="26"/>
      <c r="BZ482" s="26"/>
      <c r="CA482" s="26"/>
      <c r="CB482" s="26"/>
      <c r="CC482" s="26"/>
      <c r="CD482" s="26"/>
      <c r="CE482" s="26"/>
      <c r="CF482" s="26"/>
      <c r="CG482" s="26"/>
      <c r="CH482" s="26"/>
      <c r="CI482" s="26"/>
      <c r="CJ482" s="26"/>
      <c r="CK482" s="26"/>
      <c r="CL482" s="26"/>
      <c r="CM482" s="26"/>
      <c r="CN482" s="26"/>
      <c r="CO482" s="26"/>
      <c r="CP482" s="26"/>
      <c r="CQ482" s="26"/>
      <c r="CR482" s="26"/>
      <c r="CS482" s="26"/>
      <c r="CT482" s="26"/>
      <c r="CU482" s="26"/>
      <c r="CV482" s="26"/>
      <c r="CW482" s="26"/>
      <c r="CX482" s="26"/>
      <c r="CY482" s="26"/>
      <c r="CZ482" s="26"/>
      <c r="DA482" s="26"/>
      <c r="DB482" s="26"/>
      <c r="DC482" s="26"/>
      <c r="DD482" s="26"/>
    </row>
    <row r="483" spans="59:108" x14ac:dyDescent="0.2">
      <c r="BG483" s="26"/>
      <c r="BH483" s="26"/>
      <c r="BI483" s="26"/>
      <c r="BJ483" s="26"/>
      <c r="BK483" s="26"/>
      <c r="BL483" s="26"/>
      <c r="BM483" s="26"/>
      <c r="BN483" s="26"/>
      <c r="BO483" s="26"/>
      <c r="BP483" s="26"/>
      <c r="BQ483" s="26"/>
      <c r="BR483" s="26"/>
      <c r="BS483" s="26"/>
      <c r="BT483" s="26"/>
      <c r="BU483" s="26"/>
      <c r="BV483" s="26"/>
      <c r="BW483" s="26"/>
      <c r="BX483" s="26"/>
      <c r="BY483" s="26"/>
      <c r="BZ483" s="26"/>
      <c r="CA483" s="26"/>
      <c r="CB483" s="26"/>
      <c r="CC483" s="26"/>
      <c r="CD483" s="26"/>
      <c r="CE483" s="26"/>
      <c r="CF483" s="26"/>
      <c r="CG483" s="26"/>
      <c r="CH483" s="26"/>
      <c r="CI483" s="26"/>
      <c r="CJ483" s="26"/>
      <c r="CK483" s="26"/>
      <c r="CL483" s="26"/>
      <c r="CM483" s="26"/>
      <c r="CN483" s="26"/>
      <c r="CO483" s="26"/>
      <c r="CP483" s="26"/>
      <c r="CQ483" s="26"/>
      <c r="CR483" s="26"/>
      <c r="CS483" s="26"/>
      <c r="CT483" s="26"/>
      <c r="CU483" s="26"/>
      <c r="CV483" s="26"/>
      <c r="CW483" s="26"/>
      <c r="CX483" s="26"/>
      <c r="CY483" s="26"/>
      <c r="CZ483" s="26"/>
      <c r="DA483" s="26"/>
      <c r="DB483" s="26"/>
      <c r="DC483" s="26"/>
      <c r="DD483" s="26"/>
    </row>
    <row r="484" spans="59:108" x14ac:dyDescent="0.2">
      <c r="BG484" s="26"/>
      <c r="BH484" s="26"/>
      <c r="BI484" s="26"/>
      <c r="BJ484" s="26"/>
      <c r="BK484" s="26"/>
      <c r="BL484" s="26"/>
      <c r="BM484" s="26"/>
      <c r="BN484" s="26"/>
      <c r="BO484" s="26"/>
      <c r="BP484" s="26"/>
      <c r="BQ484" s="26"/>
      <c r="BR484" s="26"/>
      <c r="BS484" s="26"/>
      <c r="BT484" s="26"/>
      <c r="BU484" s="26"/>
      <c r="BV484" s="26"/>
      <c r="BW484" s="26"/>
      <c r="BX484" s="26"/>
      <c r="BY484" s="26"/>
      <c r="BZ484" s="26"/>
      <c r="CA484" s="26"/>
      <c r="CB484" s="26"/>
      <c r="CC484" s="26"/>
      <c r="CD484" s="26"/>
      <c r="CE484" s="26"/>
      <c r="CF484" s="26"/>
      <c r="CG484" s="26"/>
      <c r="CH484" s="26"/>
      <c r="CI484" s="26"/>
      <c r="CJ484" s="26"/>
      <c r="CK484" s="26"/>
      <c r="CL484" s="26"/>
      <c r="CM484" s="26"/>
      <c r="CN484" s="26"/>
      <c r="CO484" s="26"/>
      <c r="CP484" s="26"/>
      <c r="CQ484" s="26"/>
      <c r="CR484" s="26"/>
      <c r="CS484" s="26"/>
      <c r="CT484" s="26"/>
      <c r="CU484" s="26"/>
      <c r="CV484" s="26"/>
      <c r="CW484" s="26"/>
      <c r="CX484" s="26"/>
      <c r="CY484" s="26"/>
      <c r="CZ484" s="26"/>
      <c r="DA484" s="26"/>
      <c r="DB484" s="26"/>
      <c r="DC484" s="26"/>
      <c r="DD484" s="26"/>
    </row>
    <row r="485" spans="59:108" x14ac:dyDescent="0.2">
      <c r="BG485" s="26"/>
      <c r="BH485" s="26"/>
      <c r="BI485" s="26"/>
      <c r="BJ485" s="26"/>
      <c r="BK485" s="26"/>
      <c r="BL485" s="26"/>
      <c r="BM485" s="26"/>
      <c r="BN485" s="26"/>
      <c r="BO485" s="26"/>
      <c r="BP485" s="26"/>
      <c r="BQ485" s="26"/>
      <c r="BR485" s="26"/>
      <c r="BS485" s="26"/>
      <c r="BT485" s="26"/>
      <c r="BU485" s="26"/>
      <c r="BV485" s="26"/>
      <c r="BW485" s="26"/>
      <c r="BX485" s="26"/>
      <c r="BY485" s="26"/>
      <c r="BZ485" s="26"/>
      <c r="CA485" s="26"/>
      <c r="CB485" s="26"/>
      <c r="CC485" s="26"/>
      <c r="CD485" s="26"/>
      <c r="CE485" s="26"/>
      <c r="CF485" s="26"/>
      <c r="CG485" s="26"/>
      <c r="CH485" s="26"/>
      <c r="CI485" s="26"/>
      <c r="CJ485" s="26"/>
      <c r="CK485" s="26"/>
      <c r="CL485" s="26"/>
      <c r="CM485" s="26"/>
      <c r="CN485" s="26"/>
      <c r="CO485" s="26"/>
      <c r="CP485" s="26"/>
      <c r="CQ485" s="26"/>
      <c r="CR485" s="26"/>
      <c r="CS485" s="26"/>
      <c r="CT485" s="26"/>
      <c r="CU485" s="26"/>
      <c r="CV485" s="26"/>
      <c r="CW485" s="26"/>
      <c r="CX485" s="26"/>
      <c r="CY485" s="26"/>
      <c r="CZ485" s="26"/>
      <c r="DA485" s="26"/>
      <c r="DB485" s="26"/>
      <c r="DC485" s="26"/>
      <c r="DD485" s="26"/>
    </row>
    <row r="486" spans="59:108" x14ac:dyDescent="0.2">
      <c r="BG486" s="26"/>
      <c r="BH486" s="26"/>
      <c r="BI486" s="26"/>
      <c r="BJ486" s="26"/>
      <c r="BK486" s="26"/>
      <c r="BL486" s="26"/>
      <c r="BM486" s="26"/>
      <c r="BN486" s="26"/>
      <c r="BO486" s="26"/>
      <c r="BP486" s="26"/>
      <c r="BQ486" s="26"/>
      <c r="BR486" s="26"/>
      <c r="BS486" s="26"/>
      <c r="BT486" s="26"/>
      <c r="BU486" s="26"/>
      <c r="BV486" s="26"/>
      <c r="BW486" s="26"/>
      <c r="BX486" s="26"/>
      <c r="BY486" s="26"/>
      <c r="BZ486" s="26"/>
      <c r="CA486" s="26"/>
      <c r="CB486" s="26"/>
      <c r="CC486" s="26"/>
      <c r="CD486" s="26"/>
      <c r="CE486" s="26"/>
      <c r="CF486" s="26"/>
      <c r="CG486" s="26"/>
      <c r="CH486" s="26"/>
      <c r="CI486" s="26"/>
      <c r="CJ486" s="26"/>
      <c r="CK486" s="26"/>
      <c r="CL486" s="26"/>
      <c r="CM486" s="26"/>
      <c r="CN486" s="26"/>
      <c r="CO486" s="26"/>
      <c r="CP486" s="26"/>
      <c r="CQ486" s="26"/>
      <c r="CR486" s="26"/>
      <c r="CS486" s="26"/>
      <c r="CT486" s="26"/>
      <c r="CU486" s="26"/>
      <c r="CV486" s="26"/>
      <c r="CW486" s="26"/>
      <c r="CX486" s="26"/>
      <c r="CY486" s="26"/>
      <c r="CZ486" s="26"/>
      <c r="DA486" s="26"/>
      <c r="DB486" s="26"/>
      <c r="DC486" s="26"/>
      <c r="DD486" s="26"/>
    </row>
    <row r="487" spans="59:108" x14ac:dyDescent="0.2">
      <c r="BG487" s="26"/>
      <c r="BH487" s="26"/>
      <c r="BI487" s="26"/>
      <c r="BJ487" s="26"/>
      <c r="BK487" s="26"/>
      <c r="BL487" s="26"/>
      <c r="BM487" s="26"/>
      <c r="BN487" s="26"/>
      <c r="BO487" s="26"/>
      <c r="BP487" s="26"/>
      <c r="BQ487" s="26"/>
      <c r="BR487" s="26"/>
      <c r="BS487" s="26"/>
      <c r="BT487" s="26"/>
      <c r="BU487" s="26"/>
      <c r="BV487" s="26"/>
      <c r="BW487" s="26"/>
      <c r="BX487" s="26"/>
      <c r="BY487" s="26"/>
      <c r="BZ487" s="26"/>
      <c r="CA487" s="26"/>
      <c r="CB487" s="26"/>
      <c r="CC487" s="26"/>
      <c r="CD487" s="26"/>
      <c r="CE487" s="26"/>
      <c r="CF487" s="26"/>
      <c r="CG487" s="26"/>
      <c r="CH487" s="26"/>
      <c r="CI487" s="26"/>
      <c r="CJ487" s="26"/>
      <c r="CK487" s="26"/>
      <c r="CL487" s="26"/>
      <c r="CM487" s="26"/>
      <c r="CN487" s="26"/>
      <c r="CO487" s="26"/>
      <c r="CP487" s="26"/>
      <c r="CQ487" s="26"/>
      <c r="CR487" s="26"/>
      <c r="CS487" s="26"/>
      <c r="CT487" s="26"/>
      <c r="CU487" s="26"/>
      <c r="CV487" s="26"/>
      <c r="CW487" s="26"/>
      <c r="CX487" s="26"/>
      <c r="CY487" s="26"/>
      <c r="CZ487" s="26"/>
      <c r="DA487" s="26"/>
      <c r="DB487" s="26"/>
      <c r="DC487" s="26"/>
      <c r="DD487" s="26"/>
    </row>
    <row r="488" spans="59:108" x14ac:dyDescent="0.2">
      <c r="BG488" s="26"/>
      <c r="BH488" s="26"/>
      <c r="BI488" s="26"/>
      <c r="BJ488" s="26"/>
      <c r="BK488" s="26"/>
      <c r="BL488" s="26"/>
      <c r="BM488" s="26"/>
      <c r="BN488" s="26"/>
      <c r="BO488" s="26"/>
      <c r="BP488" s="26"/>
      <c r="BQ488" s="26"/>
      <c r="BR488" s="26"/>
      <c r="BS488" s="26"/>
      <c r="BT488" s="26"/>
      <c r="BU488" s="26"/>
      <c r="BV488" s="26"/>
      <c r="BW488" s="26"/>
      <c r="BX488" s="26"/>
      <c r="BY488" s="26"/>
      <c r="BZ488" s="26"/>
      <c r="CA488" s="26"/>
      <c r="CB488" s="26"/>
      <c r="CC488" s="26"/>
      <c r="CD488" s="26"/>
      <c r="CE488" s="26"/>
      <c r="CF488" s="26"/>
      <c r="CG488" s="26"/>
      <c r="CH488" s="26"/>
      <c r="CI488" s="26"/>
      <c r="CJ488" s="26"/>
      <c r="CK488" s="26"/>
      <c r="CL488" s="26"/>
      <c r="CM488" s="26"/>
      <c r="CN488" s="26"/>
      <c r="CO488" s="26"/>
      <c r="CP488" s="26"/>
      <c r="CQ488" s="26"/>
      <c r="CR488" s="26"/>
      <c r="CS488" s="26"/>
      <c r="CT488" s="26"/>
      <c r="CU488" s="26"/>
      <c r="CV488" s="26"/>
      <c r="CW488" s="26"/>
      <c r="CX488" s="26"/>
      <c r="CY488" s="26"/>
      <c r="CZ488" s="26"/>
      <c r="DA488" s="26"/>
      <c r="DB488" s="26"/>
      <c r="DC488" s="26"/>
      <c r="DD488" s="26"/>
    </row>
    <row r="489" spans="59:108" x14ac:dyDescent="0.2">
      <c r="BG489" s="26"/>
      <c r="BH489" s="26"/>
      <c r="BI489" s="26"/>
      <c r="BJ489" s="26"/>
      <c r="BK489" s="26"/>
      <c r="BL489" s="26"/>
      <c r="BM489" s="26"/>
      <c r="BN489" s="26"/>
      <c r="BO489" s="26"/>
      <c r="BP489" s="26"/>
      <c r="BQ489" s="26"/>
      <c r="BR489" s="26"/>
      <c r="BS489" s="26"/>
      <c r="BT489" s="26"/>
      <c r="BU489" s="26"/>
      <c r="BV489" s="26"/>
      <c r="BW489" s="26"/>
      <c r="BX489" s="26"/>
      <c r="BY489" s="26"/>
      <c r="BZ489" s="26"/>
      <c r="CA489" s="26"/>
      <c r="CB489" s="26"/>
      <c r="CC489" s="26"/>
      <c r="CD489" s="26"/>
      <c r="CE489" s="26"/>
      <c r="CF489" s="26"/>
      <c r="CG489" s="26"/>
      <c r="CH489" s="26"/>
      <c r="CI489" s="26"/>
      <c r="CJ489" s="26"/>
      <c r="CK489" s="26"/>
      <c r="CL489" s="26"/>
      <c r="CM489" s="26"/>
      <c r="CN489" s="26"/>
      <c r="CO489" s="26"/>
      <c r="CP489" s="26"/>
      <c r="CQ489" s="26"/>
      <c r="CR489" s="26"/>
      <c r="CS489" s="26"/>
      <c r="CT489" s="26"/>
      <c r="CU489" s="26"/>
      <c r="CV489" s="26"/>
      <c r="CW489" s="26"/>
      <c r="CX489" s="26"/>
      <c r="CY489" s="26"/>
      <c r="CZ489" s="26"/>
      <c r="DA489" s="26"/>
      <c r="DB489" s="26"/>
      <c r="DC489" s="26"/>
      <c r="DD489" s="26"/>
    </row>
    <row r="490" spans="59:108" x14ac:dyDescent="0.2">
      <c r="BG490" s="26"/>
      <c r="BH490" s="26"/>
      <c r="BI490" s="26"/>
      <c r="BJ490" s="26"/>
      <c r="BK490" s="26"/>
      <c r="BL490" s="26"/>
      <c r="BM490" s="26"/>
      <c r="BN490" s="26"/>
      <c r="BO490" s="26"/>
      <c r="BP490" s="26"/>
      <c r="BQ490" s="26"/>
      <c r="BR490" s="26"/>
      <c r="BS490" s="26"/>
      <c r="BT490" s="26"/>
      <c r="BU490" s="26"/>
      <c r="BV490" s="26"/>
      <c r="BW490" s="26"/>
      <c r="BX490" s="26"/>
      <c r="BY490" s="26"/>
      <c r="BZ490" s="26"/>
      <c r="CA490" s="26"/>
      <c r="CB490" s="26"/>
      <c r="CC490" s="26"/>
      <c r="CD490" s="26"/>
      <c r="CE490" s="26"/>
      <c r="CF490" s="26"/>
      <c r="CG490" s="26"/>
      <c r="CH490" s="26"/>
      <c r="CI490" s="26"/>
      <c r="CJ490" s="26"/>
      <c r="CK490" s="26"/>
      <c r="CL490" s="26"/>
      <c r="CM490" s="26"/>
      <c r="CN490" s="26"/>
      <c r="CO490" s="26"/>
      <c r="CP490" s="26"/>
      <c r="CQ490" s="26"/>
      <c r="CR490" s="26"/>
      <c r="CS490" s="26"/>
      <c r="CT490" s="26"/>
      <c r="CU490" s="26"/>
      <c r="CV490" s="26"/>
      <c r="CW490" s="26"/>
      <c r="CX490" s="26"/>
      <c r="CY490" s="26"/>
      <c r="CZ490" s="26"/>
      <c r="DA490" s="26"/>
      <c r="DB490" s="26"/>
      <c r="DC490" s="26"/>
      <c r="DD490" s="26"/>
    </row>
    <row r="491" spans="59:108" x14ac:dyDescent="0.2">
      <c r="BG491" s="26"/>
      <c r="BH491" s="26"/>
      <c r="BI491" s="26"/>
      <c r="BJ491" s="26"/>
      <c r="BK491" s="26"/>
      <c r="BL491" s="26"/>
      <c r="BM491" s="26"/>
      <c r="BN491" s="26"/>
      <c r="BO491" s="26"/>
      <c r="BP491" s="26"/>
      <c r="BQ491" s="26"/>
      <c r="BR491" s="26"/>
      <c r="BS491" s="26"/>
      <c r="BT491" s="26"/>
      <c r="BU491" s="26"/>
      <c r="BV491" s="26"/>
      <c r="BW491" s="26"/>
      <c r="BX491" s="26"/>
      <c r="BY491" s="26"/>
      <c r="BZ491" s="26"/>
      <c r="CA491" s="26"/>
      <c r="CB491" s="26"/>
      <c r="CC491" s="26"/>
      <c r="CD491" s="26"/>
      <c r="CE491" s="26"/>
      <c r="CF491" s="26"/>
      <c r="CG491" s="26"/>
      <c r="CH491" s="26"/>
      <c r="CI491" s="26"/>
      <c r="CJ491" s="26"/>
      <c r="CK491" s="26"/>
      <c r="CL491" s="26"/>
      <c r="CM491" s="26"/>
      <c r="CN491" s="26"/>
      <c r="CO491" s="26"/>
      <c r="CP491" s="26"/>
      <c r="CQ491" s="26"/>
      <c r="CR491" s="26"/>
      <c r="CS491" s="26"/>
      <c r="CT491" s="26"/>
      <c r="CU491" s="26"/>
      <c r="CV491" s="26"/>
      <c r="CW491" s="26"/>
      <c r="CX491" s="26"/>
      <c r="CY491" s="26"/>
      <c r="CZ491" s="26"/>
      <c r="DA491" s="26"/>
      <c r="DB491" s="26"/>
      <c r="DC491" s="26"/>
      <c r="DD491" s="26"/>
    </row>
    <row r="492" spans="59:108" x14ac:dyDescent="0.2">
      <c r="BG492" s="26"/>
      <c r="BH492" s="26"/>
      <c r="BI492" s="26"/>
      <c r="BJ492" s="26"/>
      <c r="BK492" s="26"/>
      <c r="BL492" s="26"/>
      <c r="BM492" s="26"/>
      <c r="BN492" s="26"/>
      <c r="BO492" s="26"/>
      <c r="BP492" s="26"/>
      <c r="BQ492" s="26"/>
      <c r="BR492" s="26"/>
      <c r="BS492" s="26"/>
      <c r="BT492" s="26"/>
      <c r="BU492" s="26"/>
      <c r="BV492" s="26"/>
      <c r="BW492" s="26"/>
      <c r="BX492" s="26"/>
      <c r="BY492" s="26"/>
      <c r="BZ492" s="26"/>
      <c r="CA492" s="26"/>
      <c r="CB492" s="26"/>
      <c r="CC492" s="26"/>
      <c r="CD492" s="26"/>
      <c r="CE492" s="26"/>
      <c r="CF492" s="26"/>
      <c r="CG492" s="26"/>
      <c r="CH492" s="26"/>
      <c r="CI492" s="26"/>
      <c r="CJ492" s="26"/>
      <c r="CK492" s="26"/>
      <c r="CL492" s="26"/>
      <c r="CM492" s="26"/>
      <c r="CN492" s="26"/>
      <c r="CO492" s="26"/>
      <c r="CP492" s="26"/>
      <c r="CQ492" s="26"/>
      <c r="CR492" s="26"/>
      <c r="CS492" s="26"/>
      <c r="CT492" s="26"/>
      <c r="CU492" s="26"/>
      <c r="CV492" s="26"/>
      <c r="CW492" s="26"/>
      <c r="CX492" s="26"/>
      <c r="CY492" s="26"/>
      <c r="CZ492" s="26"/>
      <c r="DA492" s="26"/>
      <c r="DB492" s="26"/>
      <c r="DC492" s="26"/>
      <c r="DD492" s="26"/>
    </row>
    <row r="493" spans="59:108" x14ac:dyDescent="0.2">
      <c r="BG493" s="26"/>
      <c r="BH493" s="26"/>
      <c r="BI493" s="26"/>
      <c r="BJ493" s="26"/>
      <c r="BK493" s="26"/>
      <c r="BL493" s="26"/>
      <c r="BM493" s="26"/>
      <c r="BN493" s="26"/>
      <c r="BO493" s="26"/>
      <c r="BP493" s="26"/>
      <c r="BQ493" s="26"/>
      <c r="BR493" s="26"/>
      <c r="BS493" s="26"/>
      <c r="BT493" s="26"/>
      <c r="BU493" s="26"/>
      <c r="BV493" s="26"/>
      <c r="BW493" s="26"/>
      <c r="BX493" s="26"/>
      <c r="BY493" s="26"/>
      <c r="BZ493" s="26"/>
      <c r="CA493" s="26"/>
      <c r="CB493" s="26"/>
      <c r="CC493" s="26"/>
      <c r="CD493" s="26"/>
      <c r="CE493" s="26"/>
      <c r="CF493" s="26"/>
      <c r="CG493" s="26"/>
      <c r="CH493" s="26"/>
      <c r="CI493" s="26"/>
      <c r="CJ493" s="26"/>
      <c r="CK493" s="26"/>
      <c r="CL493" s="26"/>
      <c r="CM493" s="26"/>
      <c r="CN493" s="26"/>
      <c r="CO493" s="26"/>
      <c r="CP493" s="26"/>
      <c r="CQ493" s="26"/>
      <c r="CR493" s="26"/>
      <c r="CS493" s="26"/>
      <c r="CT493" s="26"/>
      <c r="CU493" s="26"/>
      <c r="CV493" s="26"/>
      <c r="CW493" s="26"/>
      <c r="CX493" s="26"/>
      <c r="CY493" s="26"/>
      <c r="CZ493" s="26"/>
      <c r="DA493" s="26"/>
      <c r="DB493" s="26"/>
      <c r="DC493" s="26"/>
      <c r="DD493" s="26"/>
    </row>
    <row r="494" spans="59:108" x14ac:dyDescent="0.2">
      <c r="BG494" s="26"/>
      <c r="BH494" s="26"/>
      <c r="BI494" s="26"/>
      <c r="BJ494" s="26"/>
      <c r="BK494" s="26"/>
      <c r="BL494" s="26"/>
      <c r="BM494" s="26"/>
      <c r="BN494" s="26"/>
      <c r="BO494" s="26"/>
      <c r="BP494" s="26"/>
      <c r="BQ494" s="26"/>
      <c r="BR494" s="26"/>
      <c r="BS494" s="26"/>
      <c r="BT494" s="26"/>
      <c r="BU494" s="26"/>
      <c r="BV494" s="26"/>
      <c r="BW494" s="26"/>
      <c r="BX494" s="26"/>
      <c r="BY494" s="26"/>
      <c r="BZ494" s="26"/>
      <c r="CA494" s="26"/>
      <c r="CB494" s="26"/>
      <c r="CC494" s="26"/>
      <c r="CD494" s="26"/>
      <c r="CE494" s="26"/>
      <c r="CF494" s="26"/>
      <c r="CG494" s="26"/>
      <c r="CH494" s="26"/>
      <c r="CI494" s="26"/>
      <c r="CJ494" s="26"/>
      <c r="CK494" s="26"/>
      <c r="CL494" s="26"/>
      <c r="CM494" s="26"/>
      <c r="CN494" s="26"/>
      <c r="CO494" s="26"/>
      <c r="CP494" s="26"/>
      <c r="CQ494" s="26"/>
      <c r="CR494" s="26"/>
      <c r="CS494" s="26"/>
      <c r="CT494" s="26"/>
      <c r="CU494" s="26"/>
      <c r="CV494" s="26"/>
      <c r="CW494" s="26"/>
      <c r="CX494" s="26"/>
      <c r="CY494" s="26"/>
      <c r="CZ494" s="26"/>
      <c r="DA494" s="26"/>
      <c r="DB494" s="26"/>
      <c r="DC494" s="26"/>
      <c r="DD494" s="26"/>
    </row>
    <row r="495" spans="59:108" x14ac:dyDescent="0.2">
      <c r="BG495" s="26"/>
      <c r="BH495" s="26"/>
      <c r="BI495" s="26"/>
      <c r="BJ495" s="26"/>
      <c r="BK495" s="26"/>
      <c r="BL495" s="26"/>
      <c r="BM495" s="26"/>
      <c r="BN495" s="26"/>
      <c r="BO495" s="26"/>
      <c r="BP495" s="26"/>
      <c r="BQ495" s="26"/>
      <c r="BR495" s="26"/>
      <c r="BS495" s="26"/>
      <c r="BT495" s="26"/>
      <c r="BU495" s="26"/>
      <c r="BV495" s="26"/>
      <c r="BW495" s="26"/>
      <c r="BX495" s="26"/>
      <c r="BY495" s="26"/>
      <c r="BZ495" s="26"/>
      <c r="CA495" s="26"/>
      <c r="CB495" s="26"/>
      <c r="CC495" s="26"/>
      <c r="CD495" s="26"/>
      <c r="CE495" s="26"/>
      <c r="CF495" s="26"/>
      <c r="CG495" s="26"/>
      <c r="CH495" s="26"/>
      <c r="CI495" s="26"/>
      <c r="CJ495" s="26"/>
      <c r="CK495" s="26"/>
      <c r="CL495" s="26"/>
      <c r="CM495" s="26"/>
      <c r="CN495" s="26"/>
      <c r="CO495" s="26"/>
      <c r="CP495" s="26"/>
      <c r="CQ495" s="26"/>
      <c r="CR495" s="26"/>
      <c r="CS495" s="26"/>
      <c r="CT495" s="26"/>
      <c r="CU495" s="26"/>
      <c r="CV495" s="26"/>
      <c r="CW495" s="26"/>
      <c r="CX495" s="26"/>
      <c r="CY495" s="26"/>
      <c r="CZ495" s="26"/>
      <c r="DA495" s="26"/>
      <c r="DB495" s="26"/>
      <c r="DC495" s="26"/>
      <c r="DD495" s="26"/>
    </row>
    <row r="496" spans="59:108" x14ac:dyDescent="0.2">
      <c r="BG496" s="26"/>
      <c r="BH496" s="26"/>
      <c r="BI496" s="26"/>
      <c r="BJ496" s="26"/>
      <c r="BK496" s="26"/>
      <c r="BL496" s="26"/>
      <c r="BM496" s="26"/>
      <c r="BN496" s="26"/>
      <c r="BO496" s="26"/>
      <c r="BP496" s="26"/>
      <c r="BQ496" s="26"/>
      <c r="BR496" s="26"/>
      <c r="BS496" s="26"/>
      <c r="BT496" s="26"/>
      <c r="BU496" s="26"/>
      <c r="BV496" s="26"/>
      <c r="BW496" s="26"/>
      <c r="BX496" s="26"/>
      <c r="BY496" s="26"/>
      <c r="BZ496" s="26"/>
      <c r="CA496" s="26"/>
      <c r="CB496" s="26"/>
      <c r="CC496" s="26"/>
      <c r="CD496" s="26"/>
      <c r="CE496" s="26"/>
      <c r="CF496" s="26"/>
      <c r="CG496" s="26"/>
      <c r="CH496" s="26"/>
      <c r="CI496" s="26"/>
      <c r="CJ496" s="26"/>
      <c r="CK496" s="26"/>
      <c r="CL496" s="26"/>
      <c r="CM496" s="26"/>
      <c r="CN496" s="26"/>
      <c r="CO496" s="26"/>
      <c r="CP496" s="26"/>
      <c r="CQ496" s="26"/>
      <c r="CR496" s="26"/>
      <c r="CS496" s="26"/>
      <c r="CT496" s="26"/>
      <c r="CU496" s="26"/>
      <c r="CV496" s="26"/>
      <c r="CW496" s="26"/>
      <c r="CX496" s="26"/>
      <c r="CY496" s="26"/>
      <c r="CZ496" s="26"/>
      <c r="DA496" s="26"/>
      <c r="DB496" s="26"/>
      <c r="DC496" s="26"/>
      <c r="DD496" s="26"/>
    </row>
    <row r="497" spans="59:108" x14ac:dyDescent="0.2">
      <c r="BG497" s="26"/>
      <c r="BH497" s="26"/>
      <c r="BI497" s="26"/>
      <c r="BJ497" s="26"/>
      <c r="BK497" s="26"/>
      <c r="BL497" s="26"/>
      <c r="BM497" s="26"/>
      <c r="BN497" s="26"/>
      <c r="BO497" s="26"/>
      <c r="BP497" s="26"/>
      <c r="BQ497" s="26"/>
      <c r="BR497" s="26"/>
      <c r="BS497" s="26"/>
      <c r="BT497" s="26"/>
      <c r="BU497" s="26"/>
      <c r="BV497" s="26"/>
      <c r="BW497" s="26"/>
      <c r="BX497" s="26"/>
      <c r="BY497" s="26"/>
      <c r="BZ497" s="26"/>
      <c r="CA497" s="26"/>
      <c r="CB497" s="26"/>
      <c r="CC497" s="26"/>
      <c r="CD497" s="26"/>
      <c r="CE497" s="26"/>
      <c r="CF497" s="26"/>
      <c r="CG497" s="26"/>
      <c r="CH497" s="26"/>
      <c r="CI497" s="26"/>
      <c r="CJ497" s="26"/>
      <c r="CK497" s="26"/>
      <c r="CL497" s="26"/>
      <c r="CM497" s="26"/>
      <c r="CN497" s="26"/>
      <c r="CO497" s="26"/>
      <c r="CP497" s="26"/>
      <c r="CQ497" s="26"/>
      <c r="CR497" s="26"/>
      <c r="CS497" s="26"/>
      <c r="CT497" s="26"/>
      <c r="CU497" s="26"/>
      <c r="CV497" s="26"/>
      <c r="CW497" s="26"/>
      <c r="CX497" s="26"/>
      <c r="CY497" s="26"/>
      <c r="CZ497" s="26"/>
      <c r="DA497" s="26"/>
      <c r="DB497" s="26"/>
      <c r="DC497" s="26"/>
      <c r="DD497" s="26"/>
    </row>
    <row r="498" spans="59:108" x14ac:dyDescent="0.2">
      <c r="BG498" s="26"/>
      <c r="BH498" s="26"/>
      <c r="BI498" s="26"/>
      <c r="BJ498" s="26"/>
      <c r="BK498" s="26"/>
      <c r="BL498" s="26"/>
      <c r="BM498" s="26"/>
      <c r="BN498" s="26"/>
      <c r="BO498" s="26"/>
      <c r="BP498" s="26"/>
      <c r="BQ498" s="26"/>
      <c r="BR498" s="26"/>
      <c r="BS498" s="26"/>
      <c r="BT498" s="26"/>
      <c r="BU498" s="26"/>
      <c r="BV498" s="26"/>
      <c r="BW498" s="26"/>
      <c r="BX498" s="26"/>
      <c r="BY498" s="26"/>
      <c r="BZ498" s="26"/>
      <c r="CA498" s="26"/>
      <c r="CB498" s="26"/>
      <c r="CC498" s="26"/>
      <c r="CD498" s="26"/>
      <c r="CE498" s="26"/>
      <c r="CF498" s="26"/>
      <c r="CG498" s="26"/>
      <c r="CH498" s="26"/>
      <c r="CI498" s="26"/>
      <c r="CJ498" s="26"/>
      <c r="CK498" s="26"/>
      <c r="CL498" s="26"/>
      <c r="CM498" s="26"/>
      <c r="CN498" s="26"/>
      <c r="CO498" s="26"/>
      <c r="CP498" s="26"/>
      <c r="CQ498" s="26"/>
      <c r="CR498" s="26"/>
      <c r="CS498" s="26"/>
      <c r="CT498" s="26"/>
      <c r="CU498" s="26"/>
      <c r="CV498" s="26"/>
      <c r="CW498" s="26"/>
      <c r="CX498" s="26"/>
      <c r="CY498" s="26"/>
      <c r="CZ498" s="26"/>
      <c r="DA498" s="26"/>
      <c r="DB498" s="26"/>
      <c r="DC498" s="26"/>
      <c r="DD498" s="26"/>
    </row>
    <row r="499" spans="59:108" x14ac:dyDescent="0.2">
      <c r="BG499" s="26"/>
      <c r="BH499" s="26"/>
      <c r="BI499" s="26"/>
      <c r="BJ499" s="26"/>
      <c r="BK499" s="26"/>
      <c r="BL499" s="26"/>
      <c r="BM499" s="26"/>
      <c r="BN499" s="26"/>
      <c r="BO499" s="26"/>
      <c r="BP499" s="26"/>
      <c r="BQ499" s="26"/>
      <c r="BR499" s="26"/>
      <c r="BS499" s="26"/>
      <c r="BT499" s="26"/>
      <c r="BU499" s="26"/>
      <c r="BV499" s="26"/>
      <c r="BW499" s="26"/>
      <c r="BX499" s="26"/>
      <c r="BY499" s="26"/>
      <c r="BZ499" s="26"/>
      <c r="CA499" s="26"/>
      <c r="CB499" s="26"/>
      <c r="CC499" s="26"/>
      <c r="CD499" s="26"/>
      <c r="CE499" s="26"/>
      <c r="CF499" s="26"/>
      <c r="CG499" s="26"/>
      <c r="CH499" s="26"/>
      <c r="CI499" s="26"/>
      <c r="CJ499" s="26"/>
      <c r="CK499" s="26"/>
      <c r="CL499" s="26"/>
      <c r="CM499" s="26"/>
      <c r="CN499" s="26"/>
      <c r="CO499" s="26"/>
      <c r="CP499" s="26"/>
      <c r="CQ499" s="26"/>
      <c r="CR499" s="26"/>
      <c r="CS499" s="26"/>
      <c r="CT499" s="26"/>
      <c r="CU499" s="26"/>
      <c r="CV499" s="26"/>
      <c r="CW499" s="26"/>
      <c r="CX499" s="26"/>
      <c r="CY499" s="26"/>
      <c r="CZ499" s="26"/>
      <c r="DA499" s="26"/>
      <c r="DB499" s="26"/>
      <c r="DC499" s="26"/>
      <c r="DD499" s="26"/>
    </row>
    <row r="500" spans="59:108" x14ac:dyDescent="0.2">
      <c r="BG500" s="26"/>
      <c r="BH500" s="26"/>
      <c r="BI500" s="26"/>
      <c r="BJ500" s="26"/>
      <c r="BK500" s="26"/>
      <c r="BL500" s="26"/>
      <c r="BM500" s="26"/>
      <c r="BN500" s="26"/>
      <c r="BO500" s="26"/>
      <c r="BP500" s="26"/>
      <c r="BQ500" s="26"/>
      <c r="BR500" s="26"/>
      <c r="BS500" s="26"/>
      <c r="BT500" s="26"/>
      <c r="BU500" s="26"/>
      <c r="BV500" s="26"/>
      <c r="BW500" s="26"/>
      <c r="BX500" s="26"/>
      <c r="BY500" s="26"/>
      <c r="BZ500" s="26"/>
      <c r="CA500" s="26"/>
      <c r="CB500" s="26"/>
      <c r="CC500" s="26"/>
      <c r="CD500" s="26"/>
      <c r="CE500" s="26"/>
      <c r="CF500" s="26"/>
      <c r="CG500" s="26"/>
      <c r="CH500" s="26"/>
      <c r="CI500" s="26"/>
      <c r="CJ500" s="26"/>
      <c r="CK500" s="26"/>
      <c r="CL500" s="26"/>
      <c r="CM500" s="26"/>
      <c r="CN500" s="26"/>
      <c r="CO500" s="26"/>
      <c r="CP500" s="26"/>
      <c r="CQ500" s="26"/>
      <c r="CR500" s="26"/>
      <c r="CS500" s="26"/>
      <c r="CT500" s="26"/>
      <c r="CU500" s="26"/>
      <c r="CV500" s="26"/>
      <c r="CW500" s="26"/>
      <c r="CX500" s="26"/>
      <c r="CY500" s="26"/>
      <c r="CZ500" s="26"/>
      <c r="DA500" s="26"/>
      <c r="DB500" s="26"/>
      <c r="DC500" s="26"/>
      <c r="DD500" s="26"/>
    </row>
    <row r="501" spans="59:108" x14ac:dyDescent="0.2">
      <c r="BG501" s="26"/>
      <c r="BH501" s="26"/>
      <c r="BI501" s="26"/>
      <c r="BJ501" s="26"/>
      <c r="BK501" s="26"/>
      <c r="BL501" s="26"/>
      <c r="BM501" s="26"/>
      <c r="BN501" s="26"/>
      <c r="BO501" s="26"/>
      <c r="BP501" s="26"/>
      <c r="BQ501" s="26"/>
      <c r="BR501" s="26"/>
      <c r="BS501" s="26"/>
      <c r="BT501" s="26"/>
      <c r="BU501" s="26"/>
      <c r="BV501" s="26"/>
      <c r="BW501" s="26"/>
      <c r="BX501" s="26"/>
      <c r="BY501" s="26"/>
      <c r="BZ501" s="26"/>
      <c r="CA501" s="26"/>
      <c r="CB501" s="26"/>
      <c r="CC501" s="26"/>
      <c r="CD501" s="26"/>
      <c r="CE501" s="26"/>
      <c r="CF501" s="26"/>
      <c r="CG501" s="26"/>
      <c r="CH501" s="26"/>
      <c r="CI501" s="26"/>
      <c r="CJ501" s="26"/>
      <c r="CK501" s="26"/>
      <c r="CL501" s="26"/>
      <c r="CM501" s="26"/>
      <c r="CN501" s="26"/>
      <c r="CO501" s="26"/>
      <c r="CP501" s="26"/>
      <c r="CQ501" s="26"/>
      <c r="CR501" s="26"/>
      <c r="CS501" s="26"/>
      <c r="CT501" s="26"/>
      <c r="CU501" s="26"/>
      <c r="CV501" s="26"/>
      <c r="CW501" s="26"/>
      <c r="CX501" s="26"/>
      <c r="CY501" s="26"/>
      <c r="CZ501" s="26"/>
      <c r="DA501" s="26"/>
      <c r="DB501" s="26"/>
      <c r="DC501" s="26"/>
      <c r="DD501" s="26"/>
    </row>
    <row r="502" spans="59:108" x14ac:dyDescent="0.2">
      <c r="BG502" s="26"/>
      <c r="BH502" s="26"/>
      <c r="BI502" s="26"/>
      <c r="BJ502" s="26"/>
      <c r="BK502" s="26"/>
      <c r="BL502" s="26"/>
      <c r="BM502" s="26"/>
      <c r="BN502" s="26"/>
      <c r="BO502" s="26"/>
      <c r="BP502" s="26"/>
      <c r="BQ502" s="26"/>
      <c r="BR502" s="26"/>
      <c r="BS502" s="26"/>
      <c r="BT502" s="26"/>
      <c r="BU502" s="26"/>
      <c r="BV502" s="26"/>
      <c r="BW502" s="26"/>
      <c r="BX502" s="26"/>
      <c r="BY502" s="26"/>
      <c r="BZ502" s="26"/>
      <c r="CA502" s="26"/>
      <c r="CB502" s="26"/>
      <c r="CC502" s="26"/>
      <c r="CD502" s="26"/>
      <c r="CE502" s="26"/>
      <c r="CF502" s="26"/>
      <c r="CG502" s="26"/>
      <c r="CH502" s="26"/>
      <c r="CI502" s="26"/>
      <c r="CJ502" s="26"/>
      <c r="CK502" s="26"/>
      <c r="CL502" s="26"/>
      <c r="CM502" s="26"/>
      <c r="CN502" s="26"/>
      <c r="CO502" s="26"/>
      <c r="CP502" s="26"/>
      <c r="CQ502" s="26"/>
      <c r="CR502" s="26"/>
      <c r="CS502" s="26"/>
      <c r="CT502" s="26"/>
      <c r="CU502" s="26"/>
      <c r="CV502" s="26"/>
      <c r="CW502" s="26"/>
      <c r="CX502" s="26"/>
      <c r="CY502" s="26"/>
      <c r="CZ502" s="26"/>
      <c r="DA502" s="26"/>
      <c r="DB502" s="26"/>
      <c r="DC502" s="26"/>
      <c r="DD502" s="26"/>
    </row>
    <row r="503" spans="59:108" x14ac:dyDescent="0.2">
      <c r="BG503" s="26"/>
      <c r="BH503" s="26"/>
      <c r="BI503" s="26"/>
      <c r="BJ503" s="26"/>
      <c r="BK503" s="26"/>
      <c r="BL503" s="26"/>
      <c r="BM503" s="26"/>
      <c r="BN503" s="26"/>
      <c r="BO503" s="26"/>
      <c r="BP503" s="26"/>
      <c r="BQ503" s="26"/>
      <c r="BR503" s="26"/>
      <c r="BS503" s="26"/>
      <c r="BT503" s="26"/>
      <c r="BU503" s="26"/>
      <c r="BV503" s="26"/>
      <c r="BW503" s="26"/>
      <c r="BX503" s="26"/>
      <c r="BY503" s="26"/>
      <c r="BZ503" s="26"/>
      <c r="CA503" s="26"/>
      <c r="CB503" s="26"/>
      <c r="CC503" s="26"/>
      <c r="CD503" s="26"/>
      <c r="CE503" s="26"/>
      <c r="CF503" s="26"/>
      <c r="CG503" s="26"/>
      <c r="CH503" s="26"/>
      <c r="CI503" s="26"/>
      <c r="CJ503" s="26"/>
      <c r="CK503" s="26"/>
      <c r="CL503" s="26"/>
      <c r="CM503" s="26"/>
      <c r="CN503" s="26"/>
      <c r="CO503" s="26"/>
      <c r="CP503" s="26"/>
      <c r="CQ503" s="26"/>
      <c r="CR503" s="26"/>
      <c r="CS503" s="26"/>
      <c r="CT503" s="26"/>
      <c r="CU503" s="26"/>
      <c r="CV503" s="26"/>
      <c r="CW503" s="26"/>
      <c r="CX503" s="26"/>
      <c r="CY503" s="26"/>
      <c r="CZ503" s="26"/>
      <c r="DA503" s="26"/>
      <c r="DB503" s="26"/>
      <c r="DC503" s="26"/>
      <c r="DD503" s="26"/>
    </row>
    <row r="504" spans="59:108" x14ac:dyDescent="0.2">
      <c r="BG504" s="26"/>
      <c r="BH504" s="26"/>
      <c r="BI504" s="26"/>
      <c r="BJ504" s="26"/>
      <c r="BK504" s="26"/>
      <c r="BL504" s="26"/>
      <c r="BM504" s="26"/>
      <c r="BN504" s="26"/>
      <c r="BO504" s="26"/>
      <c r="BP504" s="26"/>
      <c r="BQ504" s="26"/>
      <c r="BR504" s="26"/>
      <c r="BS504" s="26"/>
      <c r="BT504" s="26"/>
      <c r="BU504" s="26"/>
      <c r="BV504" s="26"/>
      <c r="BW504" s="26"/>
      <c r="BX504" s="26"/>
      <c r="BY504" s="26"/>
      <c r="BZ504" s="26"/>
      <c r="CA504" s="26"/>
      <c r="CB504" s="26"/>
      <c r="CC504" s="26"/>
      <c r="CD504" s="26"/>
      <c r="CE504" s="26"/>
      <c r="CF504" s="26"/>
      <c r="CG504" s="26"/>
      <c r="CH504" s="26"/>
      <c r="CI504" s="26"/>
      <c r="CJ504" s="26"/>
      <c r="CK504" s="26"/>
      <c r="CL504" s="26"/>
      <c r="CM504" s="26"/>
      <c r="CN504" s="26"/>
      <c r="CO504" s="26"/>
      <c r="CP504" s="26"/>
      <c r="CQ504" s="26"/>
      <c r="CR504" s="26"/>
      <c r="CS504" s="26"/>
      <c r="CT504" s="26"/>
      <c r="CU504" s="26"/>
      <c r="CV504" s="26"/>
      <c r="CW504" s="26"/>
      <c r="CX504" s="26"/>
      <c r="CY504" s="26"/>
      <c r="CZ504" s="26"/>
      <c r="DA504" s="26"/>
      <c r="DB504" s="26"/>
      <c r="DC504" s="26"/>
      <c r="DD504" s="26"/>
    </row>
    <row r="505" spans="59:108" x14ac:dyDescent="0.2">
      <c r="BG505" s="26"/>
      <c r="BH505" s="26"/>
      <c r="BI505" s="26"/>
      <c r="BJ505" s="26"/>
      <c r="BK505" s="26"/>
      <c r="BL505" s="26"/>
      <c r="BM505" s="26"/>
      <c r="BN505" s="26"/>
      <c r="BO505" s="26"/>
      <c r="BP505" s="26"/>
      <c r="BQ505" s="26"/>
      <c r="BR505" s="26"/>
      <c r="BS505" s="26"/>
      <c r="BT505" s="26"/>
      <c r="BU505" s="26"/>
      <c r="BV505" s="26"/>
      <c r="BW505" s="26"/>
      <c r="BX505" s="26"/>
      <c r="BY505" s="26"/>
      <c r="BZ505" s="26"/>
      <c r="CA505" s="26"/>
      <c r="CB505" s="26"/>
      <c r="CC505" s="26"/>
      <c r="CD505" s="26"/>
      <c r="CE505" s="26"/>
      <c r="CF505" s="26"/>
      <c r="CG505" s="26"/>
      <c r="CH505" s="26"/>
      <c r="CI505" s="26"/>
      <c r="CJ505" s="26"/>
      <c r="CK505" s="26"/>
      <c r="CL505" s="26"/>
      <c r="CM505" s="26"/>
      <c r="CN505" s="26"/>
      <c r="CO505" s="26"/>
      <c r="CP505" s="26"/>
      <c r="CQ505" s="26"/>
      <c r="CR505" s="26"/>
      <c r="CS505" s="26"/>
      <c r="CT505" s="26"/>
      <c r="CU505" s="26"/>
      <c r="CV505" s="26"/>
      <c r="CW505" s="26"/>
      <c r="CX505" s="26"/>
      <c r="CY505" s="26"/>
      <c r="CZ505" s="26"/>
      <c r="DA505" s="26"/>
      <c r="DB505" s="26"/>
      <c r="DC505" s="26"/>
      <c r="DD505" s="26"/>
    </row>
    <row r="506" spans="59:108" x14ac:dyDescent="0.2">
      <c r="BG506" s="26"/>
      <c r="BH506" s="26"/>
      <c r="BI506" s="26"/>
      <c r="BJ506" s="26"/>
      <c r="BK506" s="26"/>
      <c r="BL506" s="26"/>
      <c r="BM506" s="26"/>
      <c r="BN506" s="26"/>
      <c r="BO506" s="26"/>
      <c r="BP506" s="26"/>
      <c r="BQ506" s="26"/>
      <c r="BR506" s="26"/>
      <c r="BS506" s="26"/>
      <c r="BT506" s="26"/>
      <c r="BU506" s="26"/>
      <c r="BV506" s="26"/>
      <c r="BW506" s="26"/>
      <c r="BX506" s="26"/>
      <c r="BY506" s="26"/>
      <c r="BZ506" s="26"/>
      <c r="CA506" s="26"/>
      <c r="CB506" s="26"/>
      <c r="CC506" s="26"/>
      <c r="CD506" s="26"/>
      <c r="CE506" s="26"/>
      <c r="CF506" s="26"/>
      <c r="CG506" s="26"/>
      <c r="CH506" s="26"/>
      <c r="CI506" s="26"/>
      <c r="CJ506" s="26"/>
      <c r="CK506" s="26"/>
      <c r="CL506" s="26"/>
      <c r="CM506" s="26"/>
      <c r="CN506" s="26"/>
      <c r="CO506" s="26"/>
      <c r="CP506" s="26"/>
      <c r="CQ506" s="26"/>
      <c r="CR506" s="26"/>
      <c r="CS506" s="26"/>
      <c r="CT506" s="26"/>
      <c r="CU506" s="26"/>
      <c r="CV506" s="26"/>
      <c r="CW506" s="26"/>
      <c r="CX506" s="26"/>
      <c r="CY506" s="26"/>
      <c r="CZ506" s="26"/>
      <c r="DA506" s="26"/>
      <c r="DB506" s="26"/>
      <c r="DC506" s="26"/>
      <c r="DD506" s="26"/>
    </row>
    <row r="507" spans="59:108" x14ac:dyDescent="0.2">
      <c r="BG507" s="26"/>
      <c r="BH507" s="26"/>
      <c r="BI507" s="26"/>
      <c r="BJ507" s="26"/>
      <c r="BK507" s="26"/>
      <c r="BL507" s="26"/>
      <c r="BM507" s="26"/>
      <c r="BN507" s="26"/>
      <c r="BO507" s="26"/>
      <c r="BP507" s="26"/>
      <c r="BQ507" s="26"/>
      <c r="BR507" s="26"/>
      <c r="BS507" s="26"/>
      <c r="BT507" s="26"/>
      <c r="BU507" s="26"/>
      <c r="BV507" s="26"/>
      <c r="BW507" s="26"/>
      <c r="BX507" s="26"/>
      <c r="BY507" s="26"/>
      <c r="BZ507" s="26"/>
      <c r="CA507" s="26"/>
      <c r="CB507" s="26"/>
      <c r="CC507" s="26"/>
      <c r="CD507" s="26"/>
      <c r="CE507" s="26"/>
      <c r="CF507" s="26"/>
      <c r="CG507" s="26"/>
      <c r="CH507" s="26"/>
      <c r="CI507" s="26"/>
      <c r="CJ507" s="26"/>
      <c r="CK507" s="26"/>
      <c r="CL507" s="26"/>
      <c r="CM507" s="26"/>
      <c r="CN507" s="26"/>
      <c r="CO507" s="26"/>
      <c r="CP507" s="26"/>
      <c r="CQ507" s="26"/>
      <c r="CR507" s="26"/>
      <c r="CS507" s="26"/>
      <c r="CT507" s="26"/>
      <c r="CU507" s="26"/>
      <c r="CV507" s="26"/>
      <c r="CW507" s="26"/>
      <c r="CX507" s="26"/>
      <c r="CY507" s="26"/>
      <c r="CZ507" s="26"/>
      <c r="DA507" s="26"/>
      <c r="DB507" s="26"/>
      <c r="DC507" s="26"/>
      <c r="DD507" s="26"/>
    </row>
    <row r="508" spans="59:108" x14ac:dyDescent="0.2">
      <c r="BG508" s="26"/>
      <c r="BH508" s="26"/>
      <c r="BI508" s="26"/>
      <c r="BJ508" s="26"/>
      <c r="BK508" s="26"/>
      <c r="BL508" s="26"/>
      <c r="BM508" s="26"/>
      <c r="BN508" s="26"/>
      <c r="BO508" s="26"/>
      <c r="BP508" s="26"/>
      <c r="BQ508" s="26"/>
      <c r="BR508" s="26"/>
      <c r="BS508" s="26"/>
      <c r="BT508" s="26"/>
      <c r="BU508" s="26"/>
      <c r="BV508" s="26"/>
      <c r="BW508" s="26"/>
      <c r="BX508" s="26"/>
      <c r="BY508" s="26"/>
      <c r="BZ508" s="26"/>
      <c r="CA508" s="26"/>
      <c r="CB508" s="26"/>
      <c r="CC508" s="26"/>
      <c r="CD508" s="26"/>
      <c r="CE508" s="26"/>
      <c r="CF508" s="26"/>
      <c r="CG508" s="26"/>
      <c r="CH508" s="26"/>
      <c r="CI508" s="26"/>
      <c r="CJ508" s="26"/>
      <c r="CK508" s="26"/>
      <c r="CL508" s="26"/>
      <c r="CM508" s="26"/>
      <c r="CN508" s="26"/>
      <c r="CO508" s="26"/>
      <c r="CP508" s="26"/>
      <c r="CQ508" s="26"/>
      <c r="CR508" s="26"/>
      <c r="CS508" s="26"/>
      <c r="CT508" s="26"/>
      <c r="CU508" s="26"/>
      <c r="CV508" s="26"/>
      <c r="CW508" s="26"/>
      <c r="CX508" s="26"/>
      <c r="CY508" s="26"/>
      <c r="CZ508" s="26"/>
      <c r="DA508" s="26"/>
      <c r="DB508" s="26"/>
      <c r="DC508" s="26"/>
      <c r="DD508" s="26"/>
    </row>
    <row r="509" spans="59:108" x14ac:dyDescent="0.2">
      <c r="BG509" s="26"/>
      <c r="BH509" s="26"/>
      <c r="BI509" s="26"/>
      <c r="BJ509" s="26"/>
      <c r="BK509" s="26"/>
      <c r="BL509" s="26"/>
      <c r="BM509" s="26"/>
      <c r="BN509" s="26"/>
      <c r="BO509" s="26"/>
      <c r="BP509" s="26"/>
      <c r="BQ509" s="26"/>
      <c r="BR509" s="26"/>
      <c r="BS509" s="26"/>
      <c r="BT509" s="26"/>
      <c r="BU509" s="26"/>
      <c r="BV509" s="26"/>
      <c r="BW509" s="26"/>
      <c r="BX509" s="26"/>
      <c r="BY509" s="26"/>
      <c r="BZ509" s="26"/>
      <c r="CA509" s="26"/>
      <c r="CB509" s="26"/>
      <c r="CC509" s="26"/>
      <c r="CD509" s="26"/>
      <c r="CE509" s="26"/>
      <c r="CF509" s="26"/>
      <c r="CG509" s="26"/>
      <c r="CH509" s="26"/>
      <c r="CI509" s="26"/>
      <c r="CJ509" s="26"/>
      <c r="CK509" s="26"/>
      <c r="CL509" s="26"/>
      <c r="CM509" s="26"/>
      <c r="CN509" s="26"/>
      <c r="CO509" s="26"/>
      <c r="CP509" s="26"/>
      <c r="CQ509" s="26"/>
      <c r="CR509" s="26"/>
      <c r="CS509" s="26"/>
      <c r="CT509" s="26"/>
      <c r="CU509" s="26"/>
      <c r="CV509" s="26"/>
      <c r="CW509" s="26"/>
      <c r="CX509" s="26"/>
      <c r="CY509" s="26"/>
      <c r="CZ509" s="26"/>
      <c r="DA509" s="26"/>
      <c r="DB509" s="26"/>
      <c r="DC509" s="26"/>
      <c r="DD509" s="26"/>
    </row>
    <row r="510" spans="59:108" x14ac:dyDescent="0.2">
      <c r="BG510" s="26"/>
      <c r="BH510" s="26"/>
      <c r="BI510" s="26"/>
      <c r="BJ510" s="26"/>
      <c r="BK510" s="26"/>
      <c r="BL510" s="26"/>
      <c r="BM510" s="26"/>
      <c r="BN510" s="26"/>
      <c r="BO510" s="26"/>
      <c r="BP510" s="26"/>
      <c r="BQ510" s="26"/>
      <c r="BR510" s="26"/>
      <c r="BS510" s="26"/>
      <c r="BT510" s="26"/>
      <c r="BU510" s="26"/>
      <c r="BV510" s="26"/>
      <c r="BW510" s="26"/>
      <c r="BX510" s="26"/>
      <c r="BY510" s="26"/>
      <c r="BZ510" s="26"/>
      <c r="CA510" s="26"/>
      <c r="CB510" s="26"/>
      <c r="CC510" s="26"/>
      <c r="CD510" s="26"/>
      <c r="CE510" s="26"/>
      <c r="CF510" s="26"/>
      <c r="CG510" s="26"/>
      <c r="CH510" s="26"/>
      <c r="CI510" s="26"/>
      <c r="CJ510" s="26"/>
      <c r="CK510" s="26"/>
      <c r="CL510" s="26"/>
      <c r="CM510" s="26"/>
      <c r="CN510" s="26"/>
      <c r="CO510" s="26"/>
      <c r="CP510" s="26"/>
      <c r="CQ510" s="26"/>
      <c r="CR510" s="26"/>
      <c r="CS510" s="26"/>
      <c r="CT510" s="26"/>
      <c r="CU510" s="26"/>
      <c r="CV510" s="26"/>
      <c r="CW510" s="26"/>
      <c r="CX510" s="26"/>
      <c r="CY510" s="26"/>
      <c r="CZ510" s="26"/>
      <c r="DA510" s="26"/>
      <c r="DB510" s="26"/>
      <c r="DC510" s="26"/>
      <c r="DD510" s="26"/>
    </row>
    <row r="511" spans="59:108" x14ac:dyDescent="0.2">
      <c r="BG511" s="26"/>
      <c r="BH511" s="26"/>
      <c r="BI511" s="26"/>
      <c r="BJ511" s="26"/>
      <c r="BK511" s="26"/>
      <c r="BL511" s="26"/>
      <c r="BM511" s="26"/>
      <c r="BN511" s="26"/>
      <c r="BO511" s="26"/>
      <c r="BP511" s="26"/>
      <c r="BQ511" s="26"/>
      <c r="BR511" s="26"/>
      <c r="BS511" s="26"/>
      <c r="BT511" s="26"/>
      <c r="BU511" s="26"/>
      <c r="BV511" s="26"/>
      <c r="BW511" s="26"/>
      <c r="BX511" s="26"/>
      <c r="BY511" s="26"/>
      <c r="BZ511" s="26"/>
      <c r="CA511" s="26"/>
      <c r="CB511" s="26"/>
      <c r="CC511" s="26"/>
      <c r="CD511" s="26"/>
      <c r="CE511" s="26"/>
      <c r="CF511" s="26"/>
      <c r="CG511" s="26"/>
      <c r="CH511" s="26"/>
      <c r="CI511" s="26"/>
      <c r="CJ511" s="26"/>
      <c r="CK511" s="26"/>
      <c r="CL511" s="26"/>
      <c r="CM511" s="26"/>
      <c r="CN511" s="26"/>
      <c r="CO511" s="26"/>
      <c r="CP511" s="26"/>
      <c r="CQ511" s="26"/>
      <c r="CR511" s="26"/>
      <c r="CS511" s="26"/>
      <c r="CT511" s="26"/>
      <c r="CU511" s="26"/>
      <c r="CV511" s="26"/>
      <c r="CW511" s="26"/>
      <c r="CX511" s="26"/>
      <c r="CY511" s="26"/>
      <c r="CZ511" s="26"/>
      <c r="DA511" s="26"/>
      <c r="DB511" s="26"/>
      <c r="DC511" s="26"/>
      <c r="DD511" s="26"/>
    </row>
    <row r="512" spans="59:108" x14ac:dyDescent="0.2">
      <c r="BG512" s="26"/>
      <c r="BH512" s="26"/>
      <c r="BI512" s="26"/>
      <c r="BJ512" s="26"/>
      <c r="BK512" s="26"/>
      <c r="BL512" s="26"/>
      <c r="BM512" s="26"/>
      <c r="BN512" s="26"/>
      <c r="BO512" s="26"/>
      <c r="BP512" s="26"/>
      <c r="BQ512" s="26"/>
      <c r="BR512" s="26"/>
      <c r="BS512" s="26"/>
      <c r="BT512" s="26"/>
      <c r="BU512" s="26"/>
      <c r="BV512" s="26"/>
      <c r="BW512" s="26"/>
      <c r="BX512" s="26"/>
      <c r="BY512" s="26"/>
      <c r="BZ512" s="26"/>
      <c r="CA512" s="26"/>
      <c r="CB512" s="26"/>
      <c r="CC512" s="26"/>
      <c r="CD512" s="26"/>
      <c r="CE512" s="26"/>
      <c r="CF512" s="26"/>
      <c r="CG512" s="26"/>
      <c r="CH512" s="26"/>
      <c r="CI512" s="26"/>
      <c r="CJ512" s="26"/>
      <c r="CK512" s="26"/>
      <c r="CL512" s="26"/>
      <c r="CM512" s="26"/>
      <c r="CN512" s="26"/>
      <c r="CO512" s="26"/>
      <c r="CP512" s="26"/>
      <c r="CQ512" s="26"/>
      <c r="CR512" s="26"/>
      <c r="CS512" s="26"/>
      <c r="CT512" s="26"/>
      <c r="CU512" s="26"/>
      <c r="CV512" s="26"/>
      <c r="CW512" s="26"/>
      <c r="CX512" s="26"/>
      <c r="CY512" s="26"/>
      <c r="CZ512" s="26"/>
      <c r="DA512" s="26"/>
      <c r="DB512" s="26"/>
      <c r="DC512" s="26"/>
      <c r="DD512" s="26"/>
    </row>
    <row r="513" spans="59:108" x14ac:dyDescent="0.2">
      <c r="BG513" s="26"/>
      <c r="BH513" s="26"/>
      <c r="BI513" s="26"/>
      <c r="BJ513" s="26"/>
      <c r="BK513" s="26"/>
      <c r="BL513" s="26"/>
      <c r="BM513" s="26"/>
      <c r="BN513" s="26"/>
      <c r="BO513" s="26"/>
      <c r="BP513" s="26"/>
      <c r="BQ513" s="26"/>
      <c r="BR513" s="26"/>
      <c r="BS513" s="26"/>
      <c r="BT513" s="26"/>
      <c r="BU513" s="26"/>
      <c r="BV513" s="26"/>
      <c r="BW513" s="26"/>
      <c r="BX513" s="26"/>
      <c r="BY513" s="26"/>
      <c r="BZ513" s="26"/>
      <c r="CA513" s="26"/>
      <c r="CB513" s="26"/>
      <c r="CC513" s="26"/>
      <c r="CD513" s="26"/>
      <c r="CE513" s="26"/>
      <c r="CF513" s="26"/>
      <c r="CG513" s="26"/>
      <c r="CH513" s="26"/>
      <c r="CI513" s="26"/>
      <c r="CJ513" s="26"/>
      <c r="CK513" s="26"/>
      <c r="CL513" s="26"/>
      <c r="CM513" s="26"/>
      <c r="CN513" s="26"/>
      <c r="CO513" s="26"/>
      <c r="CP513" s="26"/>
      <c r="CQ513" s="26"/>
      <c r="CR513" s="26"/>
      <c r="CS513" s="26"/>
      <c r="CT513" s="26"/>
      <c r="CU513" s="26"/>
      <c r="CV513" s="26"/>
      <c r="CW513" s="26"/>
      <c r="CX513" s="26"/>
      <c r="CY513" s="26"/>
      <c r="CZ513" s="26"/>
      <c r="DA513" s="26"/>
      <c r="DB513" s="26"/>
      <c r="DC513" s="26"/>
      <c r="DD513" s="26"/>
    </row>
    <row r="514" spans="59:108" x14ac:dyDescent="0.2">
      <c r="BG514" s="26"/>
      <c r="BH514" s="26"/>
      <c r="BI514" s="26"/>
      <c r="BJ514" s="26"/>
      <c r="BK514" s="26"/>
      <c r="BL514" s="26"/>
      <c r="BM514" s="26"/>
      <c r="BN514" s="26"/>
      <c r="BO514" s="26"/>
      <c r="BP514" s="26"/>
      <c r="BQ514" s="26"/>
      <c r="BR514" s="26"/>
      <c r="BS514" s="26"/>
      <c r="BT514" s="26"/>
      <c r="BU514" s="26"/>
      <c r="BV514" s="26"/>
      <c r="BW514" s="26"/>
      <c r="BX514" s="26"/>
      <c r="BY514" s="26"/>
      <c r="BZ514" s="26"/>
      <c r="CA514" s="26"/>
      <c r="CB514" s="26"/>
      <c r="CC514" s="26"/>
      <c r="CD514" s="26"/>
      <c r="CE514" s="26"/>
      <c r="CF514" s="26"/>
      <c r="CG514" s="26"/>
      <c r="CH514" s="26"/>
      <c r="CI514" s="26"/>
      <c r="CJ514" s="26"/>
      <c r="CK514" s="26"/>
      <c r="CL514" s="26"/>
      <c r="CM514" s="26"/>
      <c r="CN514" s="26"/>
      <c r="CO514" s="26"/>
      <c r="CP514" s="26"/>
      <c r="CQ514" s="26"/>
      <c r="CR514" s="26"/>
      <c r="CS514" s="26"/>
      <c r="CT514" s="26"/>
      <c r="CU514" s="26"/>
      <c r="CV514" s="26"/>
      <c r="CW514" s="26"/>
      <c r="CX514" s="26"/>
      <c r="CY514" s="26"/>
      <c r="CZ514" s="26"/>
      <c r="DA514" s="26"/>
      <c r="DB514" s="26"/>
      <c r="DC514" s="26"/>
      <c r="DD514" s="26"/>
    </row>
    <row r="515" spans="59:108" x14ac:dyDescent="0.2">
      <c r="BG515" s="26"/>
      <c r="BH515" s="26"/>
      <c r="BI515" s="26"/>
      <c r="BJ515" s="26"/>
      <c r="BK515" s="26"/>
      <c r="BL515" s="26"/>
      <c r="BM515" s="26"/>
      <c r="BN515" s="26"/>
      <c r="BO515" s="26"/>
      <c r="BP515" s="26"/>
      <c r="BQ515" s="26"/>
      <c r="BR515" s="26"/>
      <c r="BS515" s="26"/>
      <c r="BT515" s="26"/>
      <c r="BU515" s="26"/>
      <c r="BV515" s="26"/>
      <c r="BW515" s="26"/>
      <c r="BX515" s="26"/>
      <c r="BY515" s="26"/>
      <c r="BZ515" s="26"/>
      <c r="CA515" s="26"/>
      <c r="CB515" s="26"/>
      <c r="CC515" s="26"/>
      <c r="CD515" s="26"/>
      <c r="CE515" s="26"/>
      <c r="CF515" s="26"/>
      <c r="CG515" s="26"/>
      <c r="CH515" s="26"/>
      <c r="CI515" s="26"/>
      <c r="CJ515" s="26"/>
      <c r="CK515" s="26"/>
      <c r="CL515" s="26"/>
      <c r="CM515" s="26"/>
      <c r="CN515" s="26"/>
      <c r="CO515" s="26"/>
      <c r="CP515" s="26"/>
      <c r="CQ515" s="26"/>
      <c r="CR515" s="26"/>
      <c r="CS515" s="26"/>
      <c r="CT515" s="26"/>
      <c r="CU515" s="26"/>
      <c r="CV515" s="26"/>
      <c r="CW515" s="26"/>
      <c r="CX515" s="26"/>
      <c r="CY515" s="26"/>
      <c r="CZ515" s="26"/>
      <c r="DA515" s="26"/>
      <c r="DB515" s="26"/>
      <c r="DC515" s="26"/>
      <c r="DD515" s="26"/>
    </row>
    <row r="516" spans="59:108" x14ac:dyDescent="0.2">
      <c r="BG516" s="26"/>
      <c r="BH516" s="26"/>
      <c r="BI516" s="26"/>
      <c r="BJ516" s="26"/>
      <c r="BK516" s="26"/>
      <c r="BL516" s="26"/>
      <c r="BM516" s="26"/>
      <c r="BN516" s="26"/>
      <c r="BO516" s="26"/>
      <c r="BP516" s="26"/>
      <c r="BQ516" s="26"/>
      <c r="BR516" s="26"/>
      <c r="BS516" s="26"/>
      <c r="BT516" s="26"/>
      <c r="BU516" s="26"/>
      <c r="BV516" s="26"/>
      <c r="BW516" s="26"/>
      <c r="BX516" s="26"/>
      <c r="BY516" s="26"/>
      <c r="BZ516" s="26"/>
      <c r="CA516" s="26"/>
      <c r="CB516" s="26"/>
      <c r="CC516" s="26"/>
      <c r="CD516" s="26"/>
      <c r="CE516" s="26"/>
      <c r="CF516" s="26"/>
      <c r="CG516" s="26"/>
      <c r="CH516" s="26"/>
      <c r="CI516" s="26"/>
      <c r="CJ516" s="26"/>
      <c r="CK516" s="26"/>
      <c r="CL516" s="26"/>
      <c r="CM516" s="26"/>
      <c r="CN516" s="26"/>
      <c r="CO516" s="26"/>
      <c r="CP516" s="26"/>
      <c r="CQ516" s="26"/>
      <c r="CR516" s="26"/>
      <c r="CS516" s="26"/>
      <c r="CT516" s="26"/>
      <c r="CU516" s="26"/>
      <c r="CV516" s="26"/>
      <c r="CW516" s="26"/>
      <c r="CX516" s="26"/>
      <c r="CY516" s="26"/>
      <c r="CZ516" s="26"/>
      <c r="DA516" s="26"/>
      <c r="DB516" s="26"/>
      <c r="DC516" s="26"/>
      <c r="DD516" s="26"/>
    </row>
    <row r="517" spans="59:108" x14ac:dyDescent="0.2">
      <c r="BG517" s="26"/>
      <c r="BH517" s="26"/>
      <c r="BI517" s="26"/>
      <c r="BJ517" s="26"/>
      <c r="BK517" s="26"/>
      <c r="BL517" s="26"/>
      <c r="BM517" s="26"/>
      <c r="BN517" s="26"/>
      <c r="BO517" s="26"/>
      <c r="BP517" s="26"/>
      <c r="BQ517" s="26"/>
      <c r="BR517" s="26"/>
      <c r="BS517" s="26"/>
      <c r="BT517" s="26"/>
      <c r="BU517" s="26"/>
      <c r="BV517" s="26"/>
      <c r="BW517" s="26"/>
      <c r="BX517" s="26"/>
      <c r="BY517" s="26"/>
      <c r="BZ517" s="26"/>
      <c r="CA517" s="26"/>
      <c r="CB517" s="26"/>
      <c r="CC517" s="26"/>
      <c r="CD517" s="26"/>
      <c r="CE517" s="26"/>
      <c r="CF517" s="26"/>
      <c r="CG517" s="26"/>
      <c r="CH517" s="26"/>
      <c r="CI517" s="26"/>
      <c r="CJ517" s="26"/>
      <c r="CK517" s="26"/>
      <c r="CL517" s="26"/>
      <c r="CM517" s="26"/>
      <c r="CN517" s="26"/>
      <c r="CO517" s="26"/>
      <c r="CP517" s="26"/>
      <c r="CQ517" s="26"/>
      <c r="CR517" s="26"/>
      <c r="CS517" s="26"/>
      <c r="CT517" s="26"/>
      <c r="CU517" s="26"/>
      <c r="CV517" s="26"/>
      <c r="CW517" s="26"/>
      <c r="CX517" s="26"/>
      <c r="CY517" s="26"/>
      <c r="CZ517" s="26"/>
      <c r="DA517" s="26"/>
      <c r="DB517" s="26"/>
      <c r="DC517" s="26"/>
      <c r="DD517" s="26"/>
    </row>
    <row r="518" spans="59:108" x14ac:dyDescent="0.2">
      <c r="BG518" s="26"/>
      <c r="BH518" s="26"/>
      <c r="BI518" s="26"/>
      <c r="BJ518" s="26"/>
      <c r="BK518" s="26"/>
      <c r="BL518" s="26"/>
      <c r="BM518" s="26"/>
      <c r="BN518" s="26"/>
      <c r="BO518" s="26"/>
      <c r="BP518" s="26"/>
      <c r="BQ518" s="26"/>
      <c r="BR518" s="26"/>
      <c r="BS518" s="26"/>
      <c r="BT518" s="26"/>
      <c r="BU518" s="26"/>
      <c r="BV518" s="26"/>
      <c r="BW518" s="26"/>
      <c r="BX518" s="26"/>
      <c r="BY518" s="26"/>
      <c r="BZ518" s="26"/>
      <c r="CA518" s="26"/>
      <c r="CB518" s="26"/>
      <c r="CC518" s="26"/>
      <c r="CD518" s="26"/>
      <c r="CE518" s="26"/>
      <c r="CF518" s="26"/>
      <c r="CG518" s="26"/>
      <c r="CH518" s="26"/>
      <c r="CI518" s="26"/>
      <c r="CJ518" s="26"/>
      <c r="CK518" s="26"/>
      <c r="CL518" s="26"/>
      <c r="CM518" s="26"/>
      <c r="CN518" s="26"/>
      <c r="CO518" s="26"/>
      <c r="CP518" s="26"/>
      <c r="CQ518" s="26"/>
      <c r="CR518" s="26"/>
      <c r="CS518" s="26"/>
      <c r="CT518" s="26"/>
      <c r="CU518" s="26"/>
      <c r="CV518" s="26"/>
      <c r="CW518" s="26"/>
      <c r="CX518" s="26"/>
      <c r="CY518" s="26"/>
      <c r="CZ518" s="26"/>
      <c r="DA518" s="26"/>
      <c r="DB518" s="26"/>
      <c r="DC518" s="26"/>
      <c r="DD518" s="26"/>
    </row>
    <row r="519" spans="59:108" x14ac:dyDescent="0.2">
      <c r="BG519" s="26"/>
      <c r="BH519" s="26"/>
      <c r="BI519" s="26"/>
      <c r="BJ519" s="26"/>
      <c r="BK519" s="26"/>
      <c r="BL519" s="26"/>
      <c r="BM519" s="26"/>
      <c r="BN519" s="26"/>
      <c r="BO519" s="26"/>
      <c r="BP519" s="26"/>
      <c r="BQ519" s="26"/>
      <c r="BR519" s="26"/>
      <c r="BS519" s="26"/>
      <c r="BT519" s="26"/>
      <c r="BU519" s="26"/>
      <c r="BV519" s="26"/>
      <c r="BW519" s="26"/>
      <c r="BX519" s="26"/>
      <c r="BY519" s="26"/>
      <c r="BZ519" s="26"/>
      <c r="CA519" s="26"/>
      <c r="CB519" s="26"/>
      <c r="CC519" s="26"/>
      <c r="CD519" s="26"/>
      <c r="CE519" s="26"/>
      <c r="CF519" s="26"/>
      <c r="CG519" s="26"/>
      <c r="CH519" s="26"/>
      <c r="CI519" s="26"/>
      <c r="CJ519" s="26"/>
      <c r="CK519" s="26"/>
      <c r="CL519" s="26"/>
      <c r="CM519" s="26"/>
      <c r="CN519" s="26"/>
      <c r="CO519" s="26"/>
      <c r="CP519" s="26"/>
      <c r="CQ519" s="26"/>
      <c r="CR519" s="26"/>
      <c r="CS519" s="26"/>
      <c r="CT519" s="26"/>
      <c r="CU519" s="26"/>
      <c r="CV519" s="26"/>
      <c r="CW519" s="26"/>
      <c r="CX519" s="26"/>
      <c r="CY519" s="26"/>
      <c r="CZ519" s="26"/>
      <c r="DA519" s="26"/>
      <c r="DB519" s="26"/>
      <c r="DC519" s="26"/>
      <c r="DD519" s="26"/>
    </row>
    <row r="520" spans="59:108" x14ac:dyDescent="0.2">
      <c r="BG520" s="26"/>
      <c r="BH520" s="26"/>
      <c r="BI520" s="26"/>
      <c r="BJ520" s="26"/>
      <c r="BK520" s="26"/>
      <c r="BL520" s="26"/>
      <c r="BM520" s="26"/>
      <c r="BN520" s="26"/>
      <c r="BO520" s="26"/>
      <c r="BP520" s="26"/>
      <c r="BQ520" s="26"/>
      <c r="BR520" s="26"/>
      <c r="BS520" s="26"/>
      <c r="BT520" s="26"/>
      <c r="BU520" s="26"/>
      <c r="BV520" s="26"/>
      <c r="BW520" s="26"/>
      <c r="BX520" s="26"/>
      <c r="BY520" s="26"/>
      <c r="BZ520" s="26"/>
      <c r="CA520" s="26"/>
      <c r="CB520" s="26"/>
      <c r="CC520" s="26"/>
      <c r="CD520" s="26"/>
      <c r="CE520" s="26"/>
      <c r="CF520" s="26"/>
      <c r="CG520" s="26"/>
      <c r="CH520" s="26"/>
      <c r="CI520" s="26"/>
      <c r="CJ520" s="26"/>
      <c r="CK520" s="26"/>
      <c r="CL520" s="26"/>
      <c r="CM520" s="26"/>
      <c r="CN520" s="26"/>
      <c r="CO520" s="26"/>
      <c r="CP520" s="26"/>
      <c r="CQ520" s="26"/>
      <c r="CR520" s="26"/>
      <c r="CS520" s="26"/>
      <c r="CT520" s="26"/>
      <c r="CU520" s="26"/>
      <c r="CV520" s="26"/>
      <c r="CW520" s="26"/>
      <c r="CX520" s="26"/>
      <c r="CY520" s="26"/>
      <c r="CZ520" s="26"/>
      <c r="DA520" s="26"/>
      <c r="DB520" s="26"/>
      <c r="DC520" s="26"/>
      <c r="DD520" s="26"/>
    </row>
    <row r="521" spans="59:108" x14ac:dyDescent="0.2">
      <c r="BG521" s="26"/>
      <c r="BH521" s="26"/>
      <c r="BI521" s="26"/>
      <c r="BJ521" s="26"/>
      <c r="BK521" s="26"/>
      <c r="BL521" s="26"/>
      <c r="BM521" s="26"/>
      <c r="BN521" s="26"/>
      <c r="BO521" s="26"/>
      <c r="BP521" s="26"/>
      <c r="BQ521" s="26"/>
      <c r="BR521" s="26"/>
      <c r="BS521" s="26"/>
      <c r="BT521" s="26"/>
      <c r="BU521" s="26"/>
      <c r="BV521" s="26"/>
      <c r="BW521" s="26"/>
      <c r="BX521" s="26"/>
      <c r="BY521" s="26"/>
      <c r="BZ521" s="26"/>
      <c r="CA521" s="26"/>
      <c r="CB521" s="26"/>
      <c r="CC521" s="26"/>
      <c r="CD521" s="26"/>
      <c r="CE521" s="26"/>
      <c r="CF521" s="26"/>
      <c r="CG521" s="26"/>
      <c r="CH521" s="26"/>
      <c r="CI521" s="26"/>
      <c r="CJ521" s="26"/>
      <c r="CK521" s="26"/>
      <c r="CL521" s="26"/>
      <c r="CM521" s="26"/>
      <c r="CN521" s="26"/>
      <c r="CO521" s="26"/>
      <c r="CP521" s="26"/>
      <c r="CQ521" s="26"/>
      <c r="CR521" s="26"/>
      <c r="CS521" s="26"/>
      <c r="CT521" s="26"/>
      <c r="CU521" s="26"/>
      <c r="CV521" s="26"/>
      <c r="CW521" s="26"/>
      <c r="CX521" s="26"/>
      <c r="CY521" s="26"/>
      <c r="CZ521" s="26"/>
      <c r="DA521" s="26"/>
      <c r="DB521" s="26"/>
      <c r="DC521" s="26"/>
      <c r="DD521" s="26"/>
    </row>
    <row r="522" spans="59:108" x14ac:dyDescent="0.2">
      <c r="BG522" s="26"/>
      <c r="BH522" s="26"/>
      <c r="BI522" s="26"/>
      <c r="BJ522" s="26"/>
      <c r="BK522" s="26"/>
      <c r="BL522" s="26"/>
      <c r="BM522" s="26"/>
      <c r="BN522" s="26"/>
      <c r="BO522" s="26"/>
      <c r="BP522" s="26"/>
      <c r="BQ522" s="26"/>
      <c r="BR522" s="26"/>
      <c r="BS522" s="26"/>
      <c r="BT522" s="26"/>
      <c r="BU522" s="26"/>
      <c r="BV522" s="26"/>
      <c r="BW522" s="26"/>
      <c r="BX522" s="26"/>
      <c r="BY522" s="26"/>
      <c r="BZ522" s="26"/>
      <c r="CA522" s="26"/>
      <c r="CB522" s="26"/>
      <c r="CC522" s="26"/>
      <c r="CD522" s="26"/>
      <c r="CE522" s="26"/>
      <c r="CF522" s="26"/>
      <c r="CG522" s="26"/>
      <c r="CH522" s="26"/>
      <c r="CI522" s="26"/>
      <c r="CJ522" s="26"/>
      <c r="CK522" s="26"/>
      <c r="CL522" s="26"/>
      <c r="CM522" s="26"/>
      <c r="CN522" s="26"/>
      <c r="CO522" s="26"/>
      <c r="CP522" s="26"/>
      <c r="CQ522" s="26"/>
      <c r="CR522" s="26"/>
      <c r="CS522" s="26"/>
      <c r="CT522" s="26"/>
      <c r="CU522" s="26"/>
      <c r="CV522" s="26"/>
      <c r="CW522" s="26"/>
      <c r="CX522" s="26"/>
      <c r="CY522" s="26"/>
      <c r="CZ522" s="26"/>
      <c r="DA522" s="26"/>
      <c r="DB522" s="26"/>
      <c r="DC522" s="26"/>
      <c r="DD522" s="26"/>
    </row>
    <row r="523" spans="59:108" x14ac:dyDescent="0.2">
      <c r="BG523" s="26"/>
      <c r="BH523" s="26"/>
      <c r="BI523" s="26"/>
      <c r="BJ523" s="26"/>
      <c r="BK523" s="26"/>
      <c r="BL523" s="26"/>
      <c r="BM523" s="26"/>
      <c r="BN523" s="26"/>
      <c r="BO523" s="26"/>
      <c r="BP523" s="26"/>
      <c r="BQ523" s="26"/>
      <c r="BR523" s="26"/>
      <c r="BS523" s="26"/>
      <c r="BT523" s="26"/>
      <c r="BU523" s="26"/>
      <c r="BV523" s="26"/>
      <c r="BW523" s="26"/>
      <c r="BX523" s="26"/>
      <c r="BY523" s="26"/>
      <c r="BZ523" s="26"/>
      <c r="CA523" s="26"/>
      <c r="CB523" s="26"/>
      <c r="CC523" s="26"/>
      <c r="CD523" s="26"/>
      <c r="CE523" s="26"/>
      <c r="CF523" s="26"/>
      <c r="CG523" s="26"/>
      <c r="CH523" s="26"/>
      <c r="CI523" s="26"/>
      <c r="CJ523" s="26"/>
      <c r="CK523" s="26"/>
      <c r="CL523" s="26"/>
      <c r="CM523" s="26"/>
      <c r="CN523" s="26"/>
      <c r="CO523" s="26"/>
      <c r="CP523" s="26"/>
      <c r="CQ523" s="26"/>
      <c r="CR523" s="26"/>
      <c r="CS523" s="26"/>
      <c r="CT523" s="26"/>
      <c r="CU523" s="26"/>
      <c r="CV523" s="26"/>
      <c r="CW523" s="26"/>
      <c r="CX523" s="26"/>
      <c r="CY523" s="26"/>
      <c r="CZ523" s="26"/>
      <c r="DA523" s="26"/>
      <c r="DB523" s="26"/>
      <c r="DC523" s="26"/>
      <c r="DD523" s="26"/>
    </row>
    <row r="524" spans="59:108" x14ac:dyDescent="0.2">
      <c r="BG524" s="26"/>
      <c r="BH524" s="26"/>
      <c r="BI524" s="26"/>
      <c r="BJ524" s="26"/>
      <c r="BK524" s="26"/>
      <c r="BL524" s="26"/>
      <c r="BM524" s="26"/>
      <c r="BN524" s="26"/>
      <c r="BO524" s="26"/>
      <c r="BP524" s="26"/>
      <c r="BQ524" s="26"/>
      <c r="BR524" s="26"/>
      <c r="BS524" s="26"/>
      <c r="BT524" s="26"/>
      <c r="BU524" s="26"/>
      <c r="BV524" s="26"/>
      <c r="BW524" s="26"/>
      <c r="BX524" s="26"/>
      <c r="BY524" s="26"/>
      <c r="BZ524" s="26"/>
      <c r="CA524" s="26"/>
      <c r="CB524" s="26"/>
      <c r="CC524" s="26"/>
      <c r="CD524" s="26"/>
      <c r="CE524" s="26"/>
      <c r="CF524" s="26"/>
      <c r="CG524" s="26"/>
      <c r="CH524" s="26"/>
      <c r="CI524" s="26"/>
      <c r="CJ524" s="26"/>
      <c r="CK524" s="26"/>
      <c r="CL524" s="26"/>
      <c r="CM524" s="26"/>
      <c r="CN524" s="26"/>
      <c r="CO524" s="26"/>
      <c r="CP524" s="26"/>
      <c r="CQ524" s="26"/>
      <c r="CR524" s="26"/>
      <c r="CS524" s="26"/>
      <c r="CT524" s="26"/>
      <c r="CU524" s="26"/>
      <c r="CV524" s="26"/>
      <c r="CW524" s="26"/>
      <c r="CX524" s="26"/>
      <c r="CY524" s="26"/>
      <c r="CZ524" s="26"/>
      <c r="DA524" s="26"/>
      <c r="DB524" s="26"/>
      <c r="DC524" s="26"/>
      <c r="DD524" s="26"/>
    </row>
    <row r="525" spans="59:108" x14ac:dyDescent="0.2">
      <c r="BG525" s="26"/>
      <c r="BH525" s="26"/>
      <c r="BI525" s="26"/>
      <c r="BJ525" s="26"/>
      <c r="BK525" s="26"/>
      <c r="BL525" s="26"/>
      <c r="BM525" s="26"/>
      <c r="BN525" s="26"/>
      <c r="BO525" s="26"/>
      <c r="BP525" s="26"/>
      <c r="BQ525" s="26"/>
      <c r="BR525" s="26"/>
      <c r="BS525" s="26"/>
      <c r="BT525" s="26"/>
      <c r="BU525" s="26"/>
      <c r="BV525" s="26"/>
      <c r="BW525" s="26"/>
      <c r="BX525" s="26"/>
      <c r="BY525" s="26"/>
      <c r="BZ525" s="26"/>
      <c r="CA525" s="26"/>
      <c r="CB525" s="26"/>
      <c r="CC525" s="26"/>
      <c r="CD525" s="26"/>
      <c r="CE525" s="26"/>
      <c r="CF525" s="26"/>
      <c r="CG525" s="26"/>
      <c r="CH525" s="26"/>
      <c r="CI525" s="26"/>
      <c r="CJ525" s="26"/>
      <c r="CK525" s="26"/>
      <c r="CL525" s="26"/>
      <c r="CM525" s="26"/>
      <c r="CN525" s="26"/>
      <c r="CO525" s="26"/>
      <c r="CP525" s="26"/>
      <c r="CQ525" s="26"/>
      <c r="CR525" s="26"/>
      <c r="CS525" s="26"/>
      <c r="CT525" s="26"/>
      <c r="CU525" s="26"/>
      <c r="CV525" s="26"/>
      <c r="CW525" s="26"/>
      <c r="CX525" s="26"/>
      <c r="CY525" s="26"/>
      <c r="CZ525" s="26"/>
      <c r="DA525" s="26"/>
      <c r="DB525" s="26"/>
      <c r="DC525" s="26"/>
      <c r="DD525" s="26"/>
    </row>
    <row r="526" spans="59:108" x14ac:dyDescent="0.2">
      <c r="BG526" s="26"/>
      <c r="BH526" s="26"/>
      <c r="BI526" s="26"/>
      <c r="BJ526" s="26"/>
      <c r="BK526" s="26"/>
      <c r="BL526" s="26"/>
      <c r="BM526" s="26"/>
      <c r="BN526" s="26"/>
      <c r="BO526" s="26"/>
      <c r="BP526" s="26"/>
      <c r="BQ526" s="26"/>
      <c r="BR526" s="26"/>
      <c r="BS526" s="26"/>
      <c r="BT526" s="26"/>
      <c r="BU526" s="26"/>
      <c r="BV526" s="26"/>
      <c r="BW526" s="26"/>
      <c r="BX526" s="26"/>
      <c r="BY526" s="26"/>
      <c r="BZ526" s="26"/>
      <c r="CA526" s="26"/>
      <c r="CB526" s="26"/>
      <c r="CC526" s="26"/>
      <c r="CD526" s="26"/>
      <c r="CE526" s="26"/>
      <c r="CF526" s="26"/>
      <c r="CG526" s="26"/>
      <c r="CH526" s="26"/>
      <c r="CI526" s="26"/>
      <c r="CJ526" s="26"/>
      <c r="CK526" s="26"/>
      <c r="CL526" s="26"/>
      <c r="CM526" s="26"/>
      <c r="CN526" s="26"/>
      <c r="CO526" s="26"/>
      <c r="CP526" s="26"/>
      <c r="CQ526" s="26"/>
      <c r="CR526" s="26"/>
      <c r="CS526" s="26"/>
      <c r="CT526" s="26"/>
      <c r="CU526" s="26"/>
      <c r="CV526" s="26"/>
      <c r="CW526" s="26"/>
      <c r="CX526" s="26"/>
      <c r="CY526" s="26"/>
      <c r="CZ526" s="26"/>
      <c r="DA526" s="26"/>
      <c r="DB526" s="26"/>
      <c r="DC526" s="26"/>
      <c r="DD526" s="26"/>
    </row>
    <row r="527" spans="59:108" x14ac:dyDescent="0.2">
      <c r="BG527" s="26"/>
      <c r="BH527" s="26"/>
      <c r="BI527" s="26"/>
      <c r="BJ527" s="26"/>
      <c r="BK527" s="26"/>
      <c r="BL527" s="26"/>
      <c r="BM527" s="26"/>
      <c r="BN527" s="26"/>
      <c r="BO527" s="26"/>
      <c r="BP527" s="26"/>
      <c r="BQ527" s="26"/>
      <c r="BR527" s="26"/>
      <c r="BS527" s="26"/>
      <c r="BT527" s="26"/>
      <c r="BU527" s="26"/>
      <c r="BV527" s="26"/>
      <c r="BW527" s="26"/>
      <c r="BX527" s="26"/>
      <c r="BY527" s="26"/>
      <c r="BZ527" s="26"/>
      <c r="CA527" s="26"/>
      <c r="CB527" s="26"/>
      <c r="CC527" s="26"/>
      <c r="CD527" s="26"/>
      <c r="CE527" s="26"/>
      <c r="CF527" s="26"/>
      <c r="CG527" s="26"/>
      <c r="CH527" s="26"/>
      <c r="CI527" s="26"/>
      <c r="CJ527" s="26"/>
      <c r="CK527" s="26"/>
      <c r="CL527" s="26"/>
      <c r="CM527" s="26"/>
      <c r="CN527" s="26"/>
      <c r="CO527" s="26"/>
      <c r="CP527" s="26"/>
      <c r="CQ527" s="26"/>
      <c r="CR527" s="26"/>
      <c r="CS527" s="26"/>
      <c r="CT527" s="26"/>
      <c r="CU527" s="26"/>
      <c r="CV527" s="26"/>
      <c r="CW527" s="26"/>
      <c r="CX527" s="26"/>
      <c r="CY527" s="26"/>
      <c r="CZ527" s="26"/>
      <c r="DA527" s="26"/>
      <c r="DB527" s="26"/>
      <c r="DC527" s="26"/>
      <c r="DD527" s="26"/>
    </row>
    <row r="528" spans="59:108" x14ac:dyDescent="0.2">
      <c r="BG528" s="26"/>
      <c r="BH528" s="26"/>
      <c r="BI528" s="26"/>
      <c r="BJ528" s="26"/>
      <c r="BK528" s="26"/>
      <c r="BL528" s="26"/>
      <c r="BM528" s="26"/>
      <c r="BN528" s="26"/>
      <c r="BO528" s="26"/>
      <c r="BP528" s="26"/>
      <c r="BQ528" s="26"/>
      <c r="BR528" s="26"/>
      <c r="BS528" s="26"/>
      <c r="BT528" s="26"/>
      <c r="BU528" s="26"/>
      <c r="BV528" s="26"/>
      <c r="BW528" s="26"/>
      <c r="BX528" s="26"/>
      <c r="BY528" s="26"/>
      <c r="BZ528" s="26"/>
      <c r="CA528" s="26"/>
      <c r="CB528" s="26"/>
      <c r="CC528" s="26"/>
      <c r="CD528" s="26"/>
      <c r="CE528" s="26"/>
      <c r="CF528" s="26"/>
      <c r="CG528" s="26"/>
      <c r="CH528" s="26"/>
      <c r="CI528" s="26"/>
      <c r="CJ528" s="26"/>
      <c r="CK528" s="26"/>
      <c r="CL528" s="26"/>
      <c r="CM528" s="26"/>
      <c r="CN528" s="26"/>
      <c r="CO528" s="26"/>
      <c r="CP528" s="26"/>
      <c r="CQ528" s="26"/>
      <c r="CR528" s="26"/>
      <c r="CS528" s="26"/>
      <c r="CT528" s="26"/>
      <c r="CU528" s="26"/>
      <c r="CV528" s="26"/>
      <c r="CW528" s="26"/>
      <c r="CX528" s="26"/>
      <c r="CY528" s="26"/>
      <c r="CZ528" s="26"/>
      <c r="DA528" s="26"/>
      <c r="DB528" s="26"/>
      <c r="DC528" s="26"/>
      <c r="DD528" s="26"/>
    </row>
    <row r="529" spans="59:108" x14ac:dyDescent="0.2">
      <c r="BG529" s="26"/>
      <c r="BH529" s="26"/>
      <c r="BI529" s="26"/>
      <c r="BJ529" s="26"/>
      <c r="BK529" s="26"/>
      <c r="BL529" s="26"/>
      <c r="BM529" s="26"/>
      <c r="BN529" s="26"/>
      <c r="BO529" s="26"/>
      <c r="BP529" s="26"/>
      <c r="BQ529" s="26"/>
      <c r="BR529" s="26"/>
      <c r="BS529" s="26"/>
      <c r="BT529" s="26"/>
      <c r="BU529" s="26"/>
      <c r="BV529" s="26"/>
      <c r="BW529" s="26"/>
      <c r="BX529" s="26"/>
      <c r="BY529" s="26"/>
      <c r="BZ529" s="26"/>
      <c r="CA529" s="26"/>
      <c r="CB529" s="26"/>
      <c r="CC529" s="26"/>
      <c r="CD529" s="26"/>
      <c r="CE529" s="26"/>
      <c r="CF529" s="26"/>
      <c r="CG529" s="26"/>
      <c r="CH529" s="26"/>
      <c r="CI529" s="26"/>
      <c r="CJ529" s="26"/>
      <c r="CK529" s="26"/>
      <c r="CL529" s="26"/>
      <c r="CM529" s="26"/>
      <c r="CN529" s="26"/>
      <c r="CO529" s="26"/>
      <c r="CP529" s="26"/>
      <c r="CQ529" s="26"/>
      <c r="CR529" s="26"/>
      <c r="CS529" s="26"/>
      <c r="CT529" s="26"/>
      <c r="CU529" s="26"/>
      <c r="CV529" s="26"/>
      <c r="CW529" s="26"/>
      <c r="CX529" s="26"/>
      <c r="CY529" s="26"/>
      <c r="CZ529" s="26"/>
      <c r="DA529" s="26"/>
      <c r="DB529" s="26"/>
      <c r="DC529" s="26"/>
      <c r="DD529" s="26"/>
    </row>
    <row r="530" spans="59:108" x14ac:dyDescent="0.2">
      <c r="BG530" s="26"/>
      <c r="BH530" s="26"/>
      <c r="BI530" s="26"/>
      <c r="BJ530" s="26"/>
      <c r="BK530" s="26"/>
      <c r="BL530" s="26"/>
      <c r="BM530" s="26"/>
      <c r="BN530" s="26"/>
      <c r="BO530" s="26"/>
      <c r="BP530" s="26"/>
      <c r="BQ530" s="26"/>
      <c r="BR530" s="26"/>
      <c r="BS530" s="26"/>
      <c r="BT530" s="26"/>
      <c r="BU530" s="26"/>
      <c r="BV530" s="26"/>
      <c r="BW530" s="26"/>
      <c r="BX530" s="26"/>
      <c r="BY530" s="26"/>
      <c r="BZ530" s="26"/>
      <c r="CA530" s="26"/>
      <c r="CB530" s="26"/>
      <c r="CC530" s="26"/>
      <c r="CD530" s="26"/>
      <c r="CE530" s="26"/>
      <c r="CF530" s="26"/>
      <c r="CG530" s="26"/>
      <c r="CH530" s="26"/>
      <c r="CI530" s="26"/>
      <c r="CJ530" s="26"/>
      <c r="CK530" s="26"/>
      <c r="CL530" s="26"/>
      <c r="CM530" s="26"/>
      <c r="CN530" s="26"/>
      <c r="CO530" s="26"/>
      <c r="CP530" s="26"/>
      <c r="CQ530" s="26"/>
      <c r="CR530" s="26"/>
      <c r="CS530" s="26"/>
      <c r="CT530" s="26"/>
      <c r="CU530" s="26"/>
      <c r="CV530" s="26"/>
      <c r="CW530" s="26"/>
      <c r="CX530" s="26"/>
      <c r="CY530" s="26"/>
      <c r="CZ530" s="26"/>
      <c r="DA530" s="26"/>
      <c r="DB530" s="26"/>
      <c r="DC530" s="26"/>
      <c r="DD530" s="26"/>
    </row>
    <row r="531" spans="59:108" x14ac:dyDescent="0.2">
      <c r="BG531" s="26"/>
      <c r="BH531" s="26"/>
      <c r="BI531" s="26"/>
      <c r="BJ531" s="26"/>
      <c r="BK531" s="26"/>
      <c r="BL531" s="26"/>
      <c r="BM531" s="26"/>
      <c r="BN531" s="26"/>
      <c r="BO531" s="26"/>
      <c r="BP531" s="26"/>
      <c r="BQ531" s="26"/>
      <c r="BR531" s="26"/>
      <c r="BS531" s="26"/>
      <c r="BT531" s="26"/>
      <c r="BU531" s="26"/>
      <c r="BV531" s="26"/>
      <c r="BW531" s="26"/>
      <c r="BX531" s="26"/>
      <c r="BY531" s="26"/>
      <c r="BZ531" s="26"/>
      <c r="CA531" s="26"/>
      <c r="CB531" s="26"/>
      <c r="CC531" s="26"/>
      <c r="CD531" s="26"/>
      <c r="CE531" s="26"/>
      <c r="CF531" s="26"/>
      <c r="CG531" s="26"/>
      <c r="CH531" s="26"/>
      <c r="CI531" s="26"/>
      <c r="CJ531" s="26"/>
      <c r="CK531" s="26"/>
      <c r="CL531" s="26"/>
      <c r="CM531" s="26"/>
      <c r="CN531" s="26"/>
      <c r="CO531" s="26"/>
      <c r="CP531" s="26"/>
      <c r="CQ531" s="26"/>
      <c r="CR531" s="26"/>
      <c r="CS531" s="26"/>
      <c r="CT531" s="26"/>
      <c r="CU531" s="26"/>
      <c r="CV531" s="26"/>
      <c r="CW531" s="26"/>
      <c r="CX531" s="26"/>
      <c r="CY531" s="26"/>
      <c r="CZ531" s="26"/>
      <c r="DA531" s="26"/>
      <c r="DB531" s="26"/>
      <c r="DC531" s="26"/>
      <c r="DD531" s="26"/>
    </row>
    <row r="532" spans="59:108" x14ac:dyDescent="0.2">
      <c r="BG532" s="26"/>
      <c r="BH532" s="26"/>
      <c r="BI532" s="26"/>
      <c r="BJ532" s="26"/>
      <c r="BK532" s="26"/>
      <c r="BL532" s="26"/>
      <c r="BM532" s="26"/>
      <c r="BN532" s="26"/>
      <c r="BO532" s="26"/>
      <c r="BP532" s="26"/>
      <c r="BQ532" s="26"/>
      <c r="BR532" s="26"/>
      <c r="BS532" s="26"/>
      <c r="BT532" s="26"/>
      <c r="BU532" s="26"/>
      <c r="BV532" s="26"/>
      <c r="BW532" s="26"/>
      <c r="BX532" s="26"/>
      <c r="BY532" s="26"/>
      <c r="BZ532" s="26"/>
      <c r="CA532" s="26"/>
      <c r="CB532" s="26"/>
      <c r="CC532" s="26"/>
      <c r="CD532" s="26"/>
      <c r="CE532" s="26"/>
      <c r="CF532" s="26"/>
      <c r="CG532" s="26"/>
      <c r="CH532" s="26"/>
      <c r="CI532" s="26"/>
      <c r="CJ532" s="26"/>
      <c r="CK532" s="26"/>
      <c r="CL532" s="26"/>
      <c r="CM532" s="26"/>
      <c r="CN532" s="26"/>
      <c r="CO532" s="26"/>
      <c r="CP532" s="26"/>
      <c r="CQ532" s="26"/>
      <c r="CR532" s="26"/>
      <c r="CS532" s="26"/>
      <c r="CT532" s="26"/>
      <c r="CU532" s="26"/>
      <c r="CV532" s="26"/>
      <c r="CW532" s="26"/>
      <c r="CX532" s="26"/>
      <c r="CY532" s="26"/>
      <c r="CZ532" s="26"/>
      <c r="DA532" s="26"/>
      <c r="DB532" s="26"/>
      <c r="DC532" s="26"/>
      <c r="DD532" s="26"/>
    </row>
    <row r="533" spans="59:108" x14ac:dyDescent="0.2">
      <c r="BG533" s="26"/>
      <c r="BH533" s="26"/>
      <c r="BI533" s="26"/>
      <c r="BJ533" s="26"/>
      <c r="BK533" s="26"/>
      <c r="BL533" s="26"/>
      <c r="BM533" s="26"/>
      <c r="BN533" s="26"/>
      <c r="BO533" s="26"/>
      <c r="BP533" s="26"/>
      <c r="BQ533" s="26"/>
      <c r="BR533" s="26"/>
      <c r="BS533" s="26"/>
      <c r="BT533" s="26"/>
      <c r="BU533" s="26"/>
      <c r="BV533" s="26"/>
      <c r="BW533" s="26"/>
      <c r="BX533" s="26"/>
      <c r="BY533" s="26"/>
      <c r="BZ533" s="26"/>
      <c r="CA533" s="26"/>
      <c r="CB533" s="26"/>
      <c r="CC533" s="26"/>
      <c r="CD533" s="26"/>
      <c r="CE533" s="26"/>
      <c r="CF533" s="26"/>
      <c r="CG533" s="26"/>
      <c r="CH533" s="26"/>
      <c r="CI533" s="26"/>
      <c r="CJ533" s="26"/>
      <c r="CK533" s="26"/>
      <c r="CL533" s="26"/>
      <c r="CM533" s="26"/>
      <c r="CN533" s="26"/>
      <c r="CO533" s="26"/>
      <c r="CP533" s="26"/>
      <c r="CQ533" s="26"/>
      <c r="CR533" s="26"/>
      <c r="CS533" s="26"/>
      <c r="CT533" s="26"/>
      <c r="CU533" s="26"/>
      <c r="CV533" s="26"/>
      <c r="CW533" s="26"/>
      <c r="CX533" s="26"/>
      <c r="CY533" s="26"/>
      <c r="CZ533" s="26"/>
      <c r="DA533" s="26"/>
      <c r="DB533" s="26"/>
      <c r="DC533" s="26"/>
      <c r="DD533" s="26"/>
    </row>
    <row r="534" spans="59:108" x14ac:dyDescent="0.2">
      <c r="BG534" s="26"/>
      <c r="BH534" s="26"/>
      <c r="BI534" s="26"/>
      <c r="BJ534" s="26"/>
      <c r="BK534" s="26"/>
      <c r="BL534" s="26"/>
      <c r="BM534" s="26"/>
      <c r="BN534" s="26"/>
      <c r="BO534" s="26"/>
      <c r="BP534" s="26"/>
      <c r="BQ534" s="26"/>
      <c r="BR534" s="26"/>
      <c r="BS534" s="26"/>
      <c r="BT534" s="26"/>
      <c r="BU534" s="26"/>
      <c r="BV534" s="26"/>
      <c r="BW534" s="26"/>
      <c r="BX534" s="26"/>
      <c r="BY534" s="26"/>
      <c r="BZ534" s="26"/>
      <c r="CA534" s="26"/>
      <c r="CB534" s="26"/>
      <c r="CC534" s="26"/>
      <c r="CD534" s="26"/>
      <c r="CE534" s="26"/>
      <c r="CF534" s="26"/>
      <c r="CG534" s="26"/>
      <c r="CH534" s="26"/>
      <c r="CI534" s="26"/>
      <c r="CJ534" s="26"/>
      <c r="CK534" s="26"/>
      <c r="CL534" s="26"/>
      <c r="CM534" s="26"/>
      <c r="CN534" s="26"/>
      <c r="CO534" s="26"/>
      <c r="CP534" s="26"/>
      <c r="CQ534" s="26"/>
      <c r="CR534" s="26"/>
      <c r="CS534" s="26"/>
      <c r="CT534" s="26"/>
      <c r="CU534" s="26"/>
      <c r="CV534" s="26"/>
      <c r="CW534" s="26"/>
      <c r="CX534" s="26"/>
      <c r="CY534" s="26"/>
      <c r="CZ534" s="26"/>
      <c r="DA534" s="26"/>
      <c r="DB534" s="26"/>
      <c r="DC534" s="26"/>
      <c r="DD534" s="26"/>
    </row>
    <row r="535" spans="59:108" x14ac:dyDescent="0.2">
      <c r="BG535" s="26"/>
      <c r="BH535" s="26"/>
      <c r="BI535" s="26"/>
      <c r="BJ535" s="26"/>
      <c r="BK535" s="26"/>
      <c r="BL535" s="26"/>
      <c r="BM535" s="26"/>
      <c r="BN535" s="26"/>
      <c r="BO535" s="26"/>
      <c r="BP535" s="26"/>
      <c r="BQ535" s="26"/>
      <c r="BR535" s="26"/>
      <c r="BS535" s="26"/>
      <c r="BT535" s="26"/>
      <c r="BU535" s="26"/>
      <c r="BV535" s="26"/>
      <c r="BW535" s="26"/>
      <c r="BX535" s="26"/>
      <c r="BY535" s="26"/>
      <c r="BZ535" s="26"/>
      <c r="CA535" s="26"/>
      <c r="CB535" s="26"/>
      <c r="CC535" s="26"/>
      <c r="CD535" s="26"/>
      <c r="CE535" s="26"/>
      <c r="CF535" s="26"/>
      <c r="CG535" s="26"/>
      <c r="CH535" s="26"/>
      <c r="CI535" s="26"/>
      <c r="CJ535" s="26"/>
      <c r="CK535" s="26"/>
      <c r="CL535" s="26"/>
      <c r="CM535" s="26"/>
      <c r="CN535" s="26"/>
      <c r="CO535" s="26"/>
      <c r="CP535" s="26"/>
      <c r="CQ535" s="26"/>
      <c r="CR535" s="26"/>
      <c r="CS535" s="26"/>
      <c r="CT535" s="26"/>
      <c r="CU535" s="26"/>
      <c r="CV535" s="26"/>
      <c r="CW535" s="26"/>
      <c r="CX535" s="26"/>
      <c r="CY535" s="26"/>
      <c r="CZ535" s="26"/>
      <c r="DA535" s="26"/>
      <c r="DB535" s="26"/>
      <c r="DC535" s="26"/>
      <c r="DD535" s="26"/>
    </row>
    <row r="536" spans="59:108" x14ac:dyDescent="0.2">
      <c r="BG536" s="26"/>
      <c r="BH536" s="26"/>
      <c r="BI536" s="26"/>
      <c r="BJ536" s="26"/>
      <c r="BK536" s="26"/>
      <c r="BL536" s="26"/>
      <c r="BM536" s="26"/>
      <c r="BN536" s="26"/>
      <c r="BO536" s="26"/>
      <c r="BP536" s="26"/>
      <c r="BQ536" s="26"/>
      <c r="BR536" s="26"/>
      <c r="BS536" s="26"/>
      <c r="BT536" s="26"/>
      <c r="BU536" s="26"/>
      <c r="BV536" s="26"/>
      <c r="BW536" s="26"/>
      <c r="BX536" s="26"/>
      <c r="BY536" s="26"/>
      <c r="BZ536" s="26"/>
      <c r="CA536" s="26"/>
      <c r="CB536" s="26"/>
      <c r="CC536" s="26"/>
      <c r="CD536" s="26"/>
      <c r="CE536" s="26"/>
      <c r="CF536" s="26"/>
      <c r="CG536" s="26"/>
      <c r="CH536" s="26"/>
      <c r="CI536" s="26"/>
      <c r="CJ536" s="26"/>
      <c r="CK536" s="26"/>
      <c r="CL536" s="26"/>
      <c r="CM536" s="26"/>
      <c r="CN536" s="26"/>
      <c r="CO536" s="26"/>
      <c r="CP536" s="26"/>
      <c r="CQ536" s="26"/>
      <c r="CR536" s="26"/>
      <c r="CS536" s="26"/>
      <c r="CT536" s="26"/>
      <c r="CU536" s="26"/>
      <c r="CV536" s="26"/>
      <c r="CW536" s="26"/>
      <c r="CX536" s="26"/>
      <c r="CY536" s="26"/>
      <c r="CZ536" s="26"/>
      <c r="DA536" s="26"/>
      <c r="DB536" s="26"/>
      <c r="DC536" s="26"/>
      <c r="DD536" s="26"/>
    </row>
    <row r="537" spans="59:108" x14ac:dyDescent="0.2">
      <c r="BG537" s="26"/>
      <c r="BH537" s="26"/>
      <c r="BI537" s="26"/>
      <c r="BJ537" s="26"/>
      <c r="BK537" s="26"/>
      <c r="BL537" s="26"/>
      <c r="BM537" s="26"/>
      <c r="BN537" s="26"/>
      <c r="BO537" s="26"/>
      <c r="BP537" s="26"/>
      <c r="BQ537" s="26"/>
      <c r="BR537" s="26"/>
      <c r="BS537" s="26"/>
      <c r="BT537" s="26"/>
      <c r="BU537" s="26"/>
      <c r="BV537" s="26"/>
      <c r="BW537" s="26"/>
      <c r="BX537" s="26"/>
      <c r="BY537" s="26"/>
      <c r="BZ537" s="26"/>
      <c r="CA537" s="26"/>
      <c r="CB537" s="26"/>
      <c r="CC537" s="26"/>
      <c r="CD537" s="26"/>
      <c r="CE537" s="26"/>
      <c r="CF537" s="26"/>
      <c r="CG537" s="26"/>
      <c r="CH537" s="26"/>
      <c r="CI537" s="26"/>
      <c r="CJ537" s="26"/>
      <c r="CK537" s="26"/>
      <c r="CL537" s="26"/>
      <c r="CM537" s="26"/>
      <c r="CN537" s="26"/>
      <c r="CO537" s="26"/>
      <c r="CP537" s="26"/>
      <c r="CQ537" s="26"/>
      <c r="CR537" s="26"/>
      <c r="CS537" s="26"/>
      <c r="CT537" s="26"/>
      <c r="CU537" s="26"/>
      <c r="CV537" s="26"/>
      <c r="CW537" s="26"/>
      <c r="CX537" s="26"/>
      <c r="CY537" s="26"/>
      <c r="CZ537" s="26"/>
      <c r="DA537" s="26"/>
      <c r="DB537" s="26"/>
      <c r="DC537" s="26"/>
      <c r="DD537" s="26"/>
    </row>
    <row r="538" spans="59:108" x14ac:dyDescent="0.2">
      <c r="BG538" s="26"/>
      <c r="BH538" s="26"/>
      <c r="BI538" s="26"/>
      <c r="BJ538" s="26"/>
      <c r="BK538" s="26"/>
      <c r="BL538" s="26"/>
      <c r="BM538" s="26"/>
      <c r="BN538" s="26"/>
      <c r="BO538" s="26"/>
      <c r="BP538" s="26"/>
      <c r="BQ538" s="26"/>
      <c r="BR538" s="26"/>
      <c r="BS538" s="26"/>
      <c r="BT538" s="26"/>
      <c r="BU538" s="26"/>
      <c r="BV538" s="26"/>
      <c r="BW538" s="26"/>
      <c r="BX538" s="26"/>
      <c r="BY538" s="26"/>
      <c r="BZ538" s="26"/>
      <c r="CA538" s="26"/>
      <c r="CB538" s="26"/>
      <c r="CC538" s="26"/>
      <c r="CD538" s="26"/>
      <c r="CE538" s="26"/>
      <c r="CF538" s="26"/>
      <c r="CG538" s="26"/>
      <c r="CH538" s="26"/>
      <c r="CI538" s="26"/>
      <c r="CJ538" s="26"/>
      <c r="CK538" s="26"/>
      <c r="CL538" s="26"/>
      <c r="CM538" s="26"/>
      <c r="CN538" s="26"/>
      <c r="CO538" s="26"/>
      <c r="CP538" s="26"/>
      <c r="CQ538" s="26"/>
      <c r="CR538" s="26"/>
      <c r="CS538" s="26"/>
      <c r="CT538" s="26"/>
      <c r="CU538" s="26"/>
      <c r="CV538" s="26"/>
      <c r="CW538" s="26"/>
      <c r="CX538" s="26"/>
      <c r="CY538" s="26"/>
      <c r="CZ538" s="26"/>
      <c r="DA538" s="26"/>
      <c r="DB538" s="26"/>
      <c r="DC538" s="26"/>
      <c r="DD538" s="26"/>
    </row>
    <row r="539" spans="59:108" x14ac:dyDescent="0.2">
      <c r="BG539" s="26"/>
      <c r="BH539" s="26"/>
      <c r="BI539" s="26"/>
      <c r="BJ539" s="26"/>
      <c r="BK539" s="26"/>
      <c r="BL539" s="26"/>
      <c r="BM539" s="26"/>
      <c r="BN539" s="26"/>
      <c r="BO539" s="26"/>
      <c r="BP539" s="26"/>
      <c r="BQ539" s="26"/>
      <c r="BR539" s="26"/>
      <c r="BS539" s="26"/>
      <c r="BT539" s="26"/>
      <c r="BU539" s="26"/>
      <c r="BV539" s="26"/>
      <c r="BW539" s="26"/>
      <c r="BX539" s="26"/>
      <c r="BY539" s="26"/>
      <c r="BZ539" s="26"/>
      <c r="CA539" s="26"/>
      <c r="CB539" s="26"/>
      <c r="CC539" s="26"/>
      <c r="CD539" s="26"/>
      <c r="CE539" s="26"/>
      <c r="CF539" s="26"/>
      <c r="CG539" s="26"/>
      <c r="CH539" s="26"/>
      <c r="CI539" s="26"/>
      <c r="CJ539" s="26"/>
      <c r="CK539" s="26"/>
      <c r="CL539" s="26"/>
      <c r="CM539" s="26"/>
      <c r="CN539" s="26"/>
      <c r="CO539" s="26"/>
      <c r="CP539" s="26"/>
      <c r="CQ539" s="26"/>
      <c r="CR539" s="26"/>
      <c r="CS539" s="26"/>
      <c r="CT539" s="26"/>
      <c r="CU539" s="26"/>
      <c r="CV539" s="26"/>
      <c r="CW539" s="26"/>
      <c r="CX539" s="26"/>
      <c r="CY539" s="26"/>
      <c r="CZ539" s="26"/>
      <c r="DA539" s="26"/>
      <c r="DB539" s="26"/>
      <c r="DC539" s="26"/>
      <c r="DD539" s="26"/>
    </row>
    <row r="540" spans="59:108" x14ac:dyDescent="0.2">
      <c r="BG540" s="26"/>
      <c r="BH540" s="26"/>
      <c r="BI540" s="26"/>
      <c r="BJ540" s="26"/>
      <c r="BK540" s="26"/>
      <c r="BL540" s="26"/>
      <c r="BM540" s="26"/>
      <c r="BN540" s="26"/>
      <c r="BO540" s="26"/>
      <c r="BP540" s="26"/>
      <c r="BQ540" s="26"/>
      <c r="BR540" s="26"/>
      <c r="BS540" s="26"/>
      <c r="BT540" s="26"/>
      <c r="BU540" s="26"/>
      <c r="BV540" s="26"/>
      <c r="BW540" s="26"/>
      <c r="BX540" s="26"/>
      <c r="BY540" s="26"/>
      <c r="BZ540" s="26"/>
      <c r="CA540" s="26"/>
      <c r="CB540" s="26"/>
      <c r="CC540" s="26"/>
      <c r="CD540" s="26"/>
      <c r="CE540" s="26"/>
      <c r="CF540" s="26"/>
      <c r="CG540" s="26"/>
      <c r="CH540" s="26"/>
      <c r="CI540" s="26"/>
      <c r="CJ540" s="26"/>
      <c r="CK540" s="26"/>
      <c r="CL540" s="26"/>
      <c r="CM540" s="26"/>
      <c r="CN540" s="26"/>
      <c r="CO540" s="26"/>
      <c r="CP540" s="26"/>
      <c r="CQ540" s="26"/>
      <c r="CR540" s="26"/>
      <c r="CS540" s="26"/>
      <c r="CT540" s="26"/>
      <c r="CU540" s="26"/>
      <c r="CV540" s="26"/>
      <c r="CW540" s="26"/>
      <c r="CX540" s="26"/>
      <c r="CY540" s="26"/>
      <c r="CZ540" s="26"/>
      <c r="DA540" s="26"/>
      <c r="DB540" s="26"/>
      <c r="DC540" s="26"/>
      <c r="DD540" s="26"/>
    </row>
    <row r="541" spans="59:108" x14ac:dyDescent="0.2">
      <c r="BG541" s="26"/>
      <c r="BH541" s="26"/>
      <c r="BI541" s="26"/>
      <c r="BJ541" s="26"/>
      <c r="BK541" s="26"/>
      <c r="BL541" s="26"/>
      <c r="BM541" s="26"/>
      <c r="BN541" s="26"/>
      <c r="BO541" s="26"/>
      <c r="BP541" s="26"/>
      <c r="BQ541" s="26"/>
      <c r="BR541" s="26"/>
      <c r="BS541" s="26"/>
      <c r="BT541" s="26"/>
      <c r="BU541" s="26"/>
      <c r="BV541" s="26"/>
      <c r="BW541" s="26"/>
      <c r="BX541" s="26"/>
      <c r="BY541" s="26"/>
      <c r="BZ541" s="26"/>
      <c r="CA541" s="26"/>
      <c r="CB541" s="26"/>
      <c r="CC541" s="26"/>
      <c r="CD541" s="26"/>
      <c r="CE541" s="26"/>
      <c r="CF541" s="26"/>
      <c r="CG541" s="26"/>
      <c r="CH541" s="26"/>
      <c r="CI541" s="26"/>
      <c r="CJ541" s="26"/>
      <c r="CK541" s="26"/>
      <c r="CL541" s="26"/>
      <c r="CM541" s="26"/>
      <c r="CN541" s="26"/>
      <c r="CO541" s="26"/>
      <c r="CP541" s="26"/>
      <c r="CQ541" s="26"/>
      <c r="CR541" s="26"/>
      <c r="CS541" s="26"/>
      <c r="CT541" s="26"/>
      <c r="CU541" s="26"/>
      <c r="CV541" s="26"/>
      <c r="CW541" s="26"/>
      <c r="CX541" s="26"/>
      <c r="CY541" s="26"/>
      <c r="CZ541" s="26"/>
      <c r="DA541" s="26"/>
      <c r="DB541" s="26"/>
      <c r="DC541" s="26"/>
      <c r="DD541" s="26"/>
    </row>
    <row r="542" spans="59:108" x14ac:dyDescent="0.2">
      <c r="BG542" s="26"/>
      <c r="BH542" s="26"/>
      <c r="BI542" s="26"/>
      <c r="BJ542" s="26"/>
      <c r="BK542" s="26"/>
      <c r="BL542" s="26"/>
      <c r="BM542" s="26"/>
      <c r="BN542" s="26"/>
      <c r="BO542" s="26"/>
      <c r="BP542" s="26"/>
      <c r="BQ542" s="26"/>
      <c r="BR542" s="26"/>
      <c r="BS542" s="26"/>
      <c r="BT542" s="26"/>
      <c r="BU542" s="26"/>
      <c r="BV542" s="26"/>
      <c r="BW542" s="26"/>
      <c r="BX542" s="26"/>
      <c r="BY542" s="26"/>
      <c r="BZ542" s="26"/>
      <c r="CA542" s="26"/>
      <c r="CB542" s="26"/>
      <c r="CC542" s="26"/>
      <c r="CD542" s="26"/>
      <c r="CE542" s="26"/>
      <c r="CF542" s="26"/>
      <c r="CG542" s="26"/>
      <c r="CH542" s="26"/>
      <c r="CI542" s="26"/>
      <c r="CJ542" s="26"/>
      <c r="CK542" s="26"/>
      <c r="CL542" s="26"/>
      <c r="CM542" s="26"/>
      <c r="CN542" s="26"/>
      <c r="CO542" s="26"/>
      <c r="CP542" s="26"/>
      <c r="CQ542" s="26"/>
      <c r="CR542" s="26"/>
      <c r="CS542" s="26"/>
      <c r="CT542" s="26"/>
      <c r="CU542" s="26"/>
      <c r="CV542" s="26"/>
      <c r="CW542" s="26"/>
      <c r="CX542" s="26"/>
      <c r="CY542" s="26"/>
      <c r="CZ542" s="26"/>
      <c r="DA542" s="26"/>
      <c r="DB542" s="26"/>
      <c r="DC542" s="26"/>
      <c r="DD542" s="26"/>
    </row>
    <row r="543" spans="59:108" x14ac:dyDescent="0.2">
      <c r="BG543" s="26"/>
      <c r="BH543" s="26"/>
      <c r="BI543" s="26"/>
      <c r="BJ543" s="26"/>
      <c r="BK543" s="26"/>
      <c r="BL543" s="26"/>
      <c r="BM543" s="26"/>
      <c r="BN543" s="26"/>
      <c r="BO543" s="26"/>
      <c r="BP543" s="26"/>
      <c r="BQ543" s="26"/>
      <c r="BR543" s="26"/>
      <c r="BS543" s="26"/>
      <c r="BT543" s="26"/>
      <c r="BU543" s="26"/>
      <c r="BV543" s="26"/>
      <c r="BW543" s="26"/>
      <c r="BX543" s="26"/>
      <c r="BY543" s="26"/>
      <c r="BZ543" s="26"/>
      <c r="CA543" s="26"/>
      <c r="CB543" s="26"/>
      <c r="CC543" s="26"/>
      <c r="CD543" s="26"/>
      <c r="CE543" s="26"/>
      <c r="CF543" s="26"/>
      <c r="CG543" s="26"/>
      <c r="CH543" s="26"/>
      <c r="CI543" s="26"/>
      <c r="CJ543" s="26"/>
      <c r="CK543" s="26"/>
      <c r="CL543" s="26"/>
      <c r="CM543" s="26"/>
      <c r="CN543" s="26"/>
      <c r="CO543" s="26"/>
      <c r="CP543" s="26"/>
      <c r="CQ543" s="26"/>
      <c r="CR543" s="26"/>
      <c r="CS543" s="26"/>
      <c r="CT543" s="26"/>
      <c r="CU543" s="26"/>
      <c r="CV543" s="26"/>
      <c r="CW543" s="26"/>
      <c r="CX543" s="26"/>
      <c r="CY543" s="26"/>
      <c r="CZ543" s="26"/>
      <c r="DA543" s="26"/>
      <c r="DB543" s="26"/>
      <c r="DC543" s="26"/>
      <c r="DD543" s="26"/>
    </row>
    <row r="544" spans="59:108" x14ac:dyDescent="0.2">
      <c r="BG544" s="26"/>
      <c r="BH544" s="26"/>
      <c r="BI544" s="26"/>
      <c r="BJ544" s="26"/>
      <c r="BK544" s="26"/>
      <c r="BL544" s="26"/>
      <c r="BM544" s="26"/>
      <c r="BN544" s="26"/>
      <c r="BO544" s="26"/>
      <c r="BP544" s="26"/>
      <c r="BQ544" s="26"/>
      <c r="BR544" s="26"/>
      <c r="BS544" s="26"/>
      <c r="BT544" s="26"/>
      <c r="BU544" s="26"/>
      <c r="BV544" s="26"/>
      <c r="BW544" s="26"/>
      <c r="BX544" s="26"/>
      <c r="BY544" s="26"/>
      <c r="BZ544" s="26"/>
      <c r="CA544" s="26"/>
      <c r="CB544" s="26"/>
      <c r="CC544" s="26"/>
      <c r="CD544" s="26"/>
      <c r="CE544" s="26"/>
      <c r="CF544" s="26"/>
      <c r="CG544" s="26"/>
      <c r="CH544" s="26"/>
      <c r="CI544" s="26"/>
      <c r="CJ544" s="26"/>
      <c r="CK544" s="26"/>
      <c r="CL544" s="26"/>
      <c r="CM544" s="26"/>
      <c r="CN544" s="26"/>
      <c r="CO544" s="26"/>
      <c r="CP544" s="26"/>
      <c r="CQ544" s="26"/>
      <c r="CR544" s="26"/>
      <c r="CS544" s="26"/>
      <c r="CT544" s="26"/>
      <c r="CU544" s="26"/>
      <c r="CV544" s="26"/>
      <c r="CW544" s="26"/>
      <c r="CX544" s="26"/>
      <c r="CY544" s="26"/>
      <c r="CZ544" s="26"/>
      <c r="DA544" s="26"/>
      <c r="DB544" s="26"/>
      <c r="DC544" s="26"/>
      <c r="DD544" s="26"/>
    </row>
    <row r="545" spans="59:108" x14ac:dyDescent="0.2">
      <c r="BG545" s="26"/>
      <c r="BH545" s="26"/>
      <c r="BI545" s="26"/>
      <c r="BJ545" s="26"/>
      <c r="BK545" s="26"/>
      <c r="BL545" s="26"/>
      <c r="BM545" s="26"/>
      <c r="BN545" s="26"/>
      <c r="BO545" s="26"/>
      <c r="BP545" s="26"/>
      <c r="BQ545" s="26"/>
      <c r="BR545" s="26"/>
      <c r="BS545" s="26"/>
      <c r="BT545" s="26"/>
      <c r="BU545" s="26"/>
      <c r="BV545" s="26"/>
      <c r="BW545" s="26"/>
      <c r="BX545" s="26"/>
      <c r="BY545" s="26"/>
      <c r="BZ545" s="26"/>
      <c r="CA545" s="26"/>
      <c r="CB545" s="26"/>
      <c r="CC545" s="26"/>
      <c r="CD545" s="26"/>
      <c r="CE545" s="26"/>
      <c r="CF545" s="26"/>
      <c r="CG545" s="26"/>
      <c r="CH545" s="26"/>
      <c r="CI545" s="26"/>
      <c r="CJ545" s="26"/>
      <c r="CK545" s="26"/>
      <c r="CL545" s="26"/>
      <c r="CM545" s="26"/>
      <c r="CN545" s="26"/>
      <c r="CO545" s="26"/>
      <c r="CP545" s="26"/>
      <c r="CQ545" s="26"/>
      <c r="CR545" s="26"/>
      <c r="CS545" s="26"/>
      <c r="CT545" s="26"/>
      <c r="CU545" s="26"/>
      <c r="CV545" s="26"/>
      <c r="CW545" s="26"/>
      <c r="CX545" s="26"/>
      <c r="CY545" s="26"/>
      <c r="CZ545" s="26"/>
      <c r="DA545" s="26"/>
      <c r="DB545" s="26"/>
      <c r="DC545" s="26"/>
      <c r="DD545" s="26"/>
    </row>
    <row r="546" spans="59:108" x14ac:dyDescent="0.2">
      <c r="BG546" s="26"/>
      <c r="BH546" s="26"/>
      <c r="BI546" s="26"/>
      <c r="BJ546" s="26"/>
      <c r="BK546" s="26"/>
      <c r="BL546" s="26"/>
      <c r="BM546" s="26"/>
      <c r="BN546" s="26"/>
      <c r="BO546" s="26"/>
      <c r="BP546" s="26"/>
      <c r="BQ546" s="26"/>
      <c r="BR546" s="26"/>
      <c r="BS546" s="26"/>
      <c r="BT546" s="26"/>
      <c r="BU546" s="26"/>
      <c r="BV546" s="26"/>
      <c r="BW546" s="26"/>
      <c r="BX546" s="26"/>
      <c r="BY546" s="26"/>
      <c r="BZ546" s="26"/>
      <c r="CA546" s="26"/>
      <c r="CB546" s="26"/>
      <c r="CC546" s="26"/>
      <c r="CD546" s="26"/>
      <c r="CE546" s="26"/>
      <c r="CF546" s="26"/>
      <c r="CG546" s="26"/>
      <c r="CH546" s="26"/>
      <c r="CI546" s="26"/>
      <c r="CJ546" s="26"/>
      <c r="CK546" s="26"/>
      <c r="CL546" s="26"/>
      <c r="CM546" s="26"/>
      <c r="CN546" s="26"/>
      <c r="CO546" s="26"/>
      <c r="CP546" s="26"/>
      <c r="CQ546" s="26"/>
      <c r="CR546" s="26"/>
      <c r="CS546" s="26"/>
      <c r="CT546" s="26"/>
      <c r="CU546" s="26"/>
      <c r="CV546" s="26"/>
      <c r="CW546" s="26"/>
      <c r="CX546" s="26"/>
      <c r="CY546" s="26"/>
      <c r="CZ546" s="26"/>
      <c r="DA546" s="26"/>
      <c r="DB546" s="26"/>
      <c r="DC546" s="26"/>
      <c r="DD546" s="26"/>
    </row>
    <row r="547" spans="59:108" x14ac:dyDescent="0.2">
      <c r="BG547" s="26"/>
      <c r="BH547" s="26"/>
      <c r="BI547" s="26"/>
      <c r="BJ547" s="26"/>
      <c r="BK547" s="26"/>
      <c r="BL547" s="26"/>
      <c r="BM547" s="26"/>
      <c r="BN547" s="26"/>
      <c r="BO547" s="26"/>
      <c r="BP547" s="26"/>
      <c r="BQ547" s="26"/>
      <c r="BR547" s="26"/>
      <c r="BS547" s="26"/>
      <c r="BT547" s="26"/>
      <c r="BU547" s="26"/>
      <c r="BV547" s="26"/>
      <c r="BW547" s="26"/>
      <c r="BX547" s="26"/>
      <c r="BY547" s="26"/>
      <c r="BZ547" s="26"/>
      <c r="CA547" s="26"/>
      <c r="CB547" s="26"/>
      <c r="CC547" s="26"/>
      <c r="CD547" s="26"/>
      <c r="CE547" s="26"/>
      <c r="CF547" s="26"/>
      <c r="CG547" s="26"/>
      <c r="CH547" s="26"/>
      <c r="CI547" s="26"/>
      <c r="CJ547" s="26"/>
      <c r="CK547" s="26"/>
      <c r="CL547" s="26"/>
      <c r="CM547" s="26"/>
      <c r="CN547" s="26"/>
      <c r="CO547" s="26"/>
      <c r="CP547" s="26"/>
      <c r="CQ547" s="26"/>
      <c r="CR547" s="26"/>
      <c r="CS547" s="26"/>
      <c r="CT547" s="26"/>
      <c r="CU547" s="26"/>
      <c r="CV547" s="26"/>
      <c r="CW547" s="26"/>
      <c r="CX547" s="26"/>
      <c r="CY547" s="26"/>
      <c r="CZ547" s="26"/>
      <c r="DA547" s="26"/>
      <c r="DB547" s="26"/>
      <c r="DC547" s="26"/>
      <c r="DD547" s="26"/>
    </row>
    <row r="548" spans="59:108" x14ac:dyDescent="0.2">
      <c r="BG548" s="26"/>
      <c r="BH548" s="26"/>
      <c r="BI548" s="26"/>
      <c r="BJ548" s="26"/>
      <c r="BK548" s="26"/>
      <c r="BL548" s="26"/>
      <c r="BM548" s="26"/>
      <c r="BN548" s="26"/>
      <c r="BO548" s="26"/>
      <c r="BP548" s="26"/>
      <c r="BQ548" s="26"/>
      <c r="BR548" s="26"/>
      <c r="BS548" s="26"/>
      <c r="BT548" s="26"/>
      <c r="BU548" s="26"/>
      <c r="BV548" s="26"/>
      <c r="BW548" s="26"/>
      <c r="BX548" s="26"/>
      <c r="BY548" s="26"/>
      <c r="BZ548" s="26"/>
      <c r="CA548" s="26"/>
      <c r="CB548" s="26"/>
      <c r="CC548" s="26"/>
      <c r="CD548" s="26"/>
      <c r="CE548" s="26"/>
      <c r="CF548" s="26"/>
      <c r="CG548" s="26"/>
      <c r="CH548" s="26"/>
      <c r="CI548" s="26"/>
      <c r="CJ548" s="26"/>
      <c r="CK548" s="26"/>
      <c r="CL548" s="26"/>
      <c r="CM548" s="26"/>
      <c r="CN548" s="26"/>
      <c r="CO548" s="26"/>
      <c r="CP548" s="26"/>
      <c r="CQ548" s="26"/>
      <c r="CR548" s="26"/>
      <c r="CS548" s="26"/>
      <c r="CT548" s="26"/>
      <c r="CU548" s="26"/>
      <c r="CV548" s="26"/>
      <c r="CW548" s="26"/>
      <c r="CX548" s="26"/>
      <c r="CY548" s="26"/>
      <c r="CZ548" s="26"/>
      <c r="DA548" s="26"/>
      <c r="DB548" s="26"/>
      <c r="DC548" s="26"/>
      <c r="DD548" s="26"/>
    </row>
    <row r="549" spans="59:108" x14ac:dyDescent="0.2">
      <c r="BG549" s="26"/>
      <c r="BH549" s="26"/>
      <c r="BI549" s="26"/>
      <c r="BJ549" s="26"/>
      <c r="BK549" s="26"/>
      <c r="BL549" s="26"/>
      <c r="BM549" s="26"/>
      <c r="BN549" s="26"/>
      <c r="BO549" s="26"/>
      <c r="BP549" s="26"/>
      <c r="BQ549" s="26"/>
      <c r="BR549" s="26"/>
      <c r="BS549" s="26"/>
      <c r="BT549" s="26"/>
      <c r="BU549" s="26"/>
      <c r="BV549" s="26"/>
      <c r="BW549" s="26"/>
      <c r="BX549" s="26"/>
      <c r="BY549" s="26"/>
      <c r="BZ549" s="26"/>
      <c r="CA549" s="26"/>
      <c r="CB549" s="26"/>
      <c r="CC549" s="26"/>
      <c r="CD549" s="26"/>
      <c r="CE549" s="26"/>
      <c r="CF549" s="26"/>
      <c r="CG549" s="26"/>
      <c r="CH549" s="26"/>
      <c r="CI549" s="26"/>
      <c r="CJ549" s="26"/>
      <c r="CK549" s="26"/>
      <c r="CL549" s="26"/>
      <c r="CM549" s="26"/>
      <c r="CN549" s="26"/>
      <c r="CO549" s="26"/>
      <c r="CP549" s="26"/>
      <c r="CQ549" s="26"/>
      <c r="CR549" s="26"/>
      <c r="CS549" s="26"/>
      <c r="CT549" s="26"/>
      <c r="CU549" s="26"/>
      <c r="CV549" s="26"/>
      <c r="CW549" s="26"/>
      <c r="CX549" s="26"/>
      <c r="CY549" s="26"/>
      <c r="CZ549" s="26"/>
      <c r="DA549" s="26"/>
      <c r="DB549" s="26"/>
      <c r="DC549" s="26"/>
      <c r="DD549" s="26"/>
    </row>
    <row r="550" spans="59:108" x14ac:dyDescent="0.2">
      <c r="BG550" s="26"/>
      <c r="BH550" s="26"/>
      <c r="BI550" s="26"/>
      <c r="BJ550" s="26"/>
      <c r="BK550" s="26"/>
      <c r="BL550" s="26"/>
      <c r="BM550" s="26"/>
      <c r="BN550" s="26"/>
      <c r="BO550" s="26"/>
      <c r="BP550" s="26"/>
      <c r="BQ550" s="26"/>
      <c r="BR550" s="26"/>
      <c r="BS550" s="26"/>
      <c r="BT550" s="26"/>
      <c r="BU550" s="26"/>
      <c r="BV550" s="26"/>
      <c r="BW550" s="26"/>
      <c r="BX550" s="26"/>
      <c r="BY550" s="26"/>
      <c r="BZ550" s="26"/>
      <c r="CA550" s="26"/>
      <c r="CB550" s="26"/>
      <c r="CC550" s="26"/>
      <c r="CD550" s="26"/>
      <c r="CE550" s="26"/>
      <c r="CF550" s="26"/>
      <c r="CG550" s="26"/>
      <c r="CH550" s="26"/>
      <c r="CI550" s="26"/>
      <c r="CJ550" s="26"/>
      <c r="CK550" s="26"/>
      <c r="CL550" s="26"/>
      <c r="CM550" s="26"/>
      <c r="CN550" s="26"/>
      <c r="CO550" s="26"/>
      <c r="CP550" s="26"/>
      <c r="CQ550" s="26"/>
      <c r="CR550" s="26"/>
      <c r="CS550" s="26"/>
      <c r="CT550" s="26"/>
      <c r="CU550" s="26"/>
      <c r="CV550" s="26"/>
      <c r="CW550" s="26"/>
      <c r="CX550" s="26"/>
      <c r="CY550" s="26"/>
      <c r="CZ550" s="26"/>
      <c r="DA550" s="26"/>
      <c r="DB550" s="26"/>
      <c r="DC550" s="26"/>
      <c r="DD550" s="26"/>
    </row>
    <row r="551" spans="59:108" x14ac:dyDescent="0.2">
      <c r="BG551" s="26"/>
      <c r="BH551" s="26"/>
      <c r="BI551" s="26"/>
      <c r="BJ551" s="26"/>
      <c r="BK551" s="26"/>
      <c r="BL551" s="26"/>
      <c r="BM551" s="26"/>
      <c r="BN551" s="26"/>
      <c r="BO551" s="26"/>
      <c r="BP551" s="26"/>
      <c r="BQ551" s="26"/>
      <c r="BR551" s="26"/>
      <c r="BS551" s="26"/>
      <c r="BT551" s="26"/>
      <c r="BU551" s="26"/>
      <c r="BV551" s="26"/>
      <c r="BW551" s="26"/>
      <c r="BX551" s="26"/>
      <c r="BY551" s="26"/>
      <c r="BZ551" s="26"/>
      <c r="CA551" s="26"/>
      <c r="CB551" s="26"/>
      <c r="CC551" s="26"/>
      <c r="CD551" s="26"/>
      <c r="CE551" s="26"/>
      <c r="CF551" s="26"/>
      <c r="CG551" s="26"/>
      <c r="CH551" s="26"/>
      <c r="CI551" s="26"/>
      <c r="CJ551" s="26"/>
      <c r="CK551" s="26"/>
      <c r="CL551" s="26"/>
      <c r="CM551" s="26"/>
      <c r="CN551" s="26"/>
      <c r="CO551" s="26"/>
      <c r="CP551" s="26"/>
      <c r="CQ551" s="26"/>
      <c r="CR551" s="26"/>
      <c r="CS551" s="26"/>
      <c r="CT551" s="26"/>
      <c r="CU551" s="26"/>
      <c r="CV551" s="26"/>
      <c r="CW551" s="26"/>
      <c r="CX551" s="26"/>
      <c r="CY551" s="26"/>
      <c r="CZ551" s="26"/>
      <c r="DA551" s="26"/>
      <c r="DB551" s="26"/>
      <c r="DC551" s="26"/>
      <c r="DD551" s="26"/>
    </row>
    <row r="552" spans="59:108" x14ac:dyDescent="0.2">
      <c r="BG552" s="26"/>
      <c r="BH552" s="26"/>
      <c r="BI552" s="26"/>
      <c r="BJ552" s="26"/>
      <c r="BK552" s="26"/>
      <c r="BL552" s="26"/>
      <c r="BM552" s="26"/>
      <c r="BN552" s="26"/>
      <c r="BO552" s="26"/>
      <c r="BP552" s="26"/>
      <c r="BQ552" s="26"/>
      <c r="BR552" s="26"/>
      <c r="BS552" s="26"/>
      <c r="BT552" s="26"/>
      <c r="BU552" s="26"/>
      <c r="BV552" s="26"/>
      <c r="BW552" s="26"/>
      <c r="BX552" s="26"/>
      <c r="BY552" s="26"/>
      <c r="BZ552" s="26"/>
      <c r="CA552" s="26"/>
      <c r="CB552" s="26"/>
      <c r="CC552" s="26"/>
      <c r="CD552" s="26"/>
      <c r="CE552" s="26"/>
      <c r="CF552" s="26"/>
      <c r="CG552" s="26"/>
      <c r="CH552" s="26"/>
      <c r="CI552" s="26"/>
      <c r="CJ552" s="26"/>
      <c r="CK552" s="26"/>
      <c r="CL552" s="26"/>
      <c r="CM552" s="26"/>
      <c r="CN552" s="26"/>
      <c r="CO552" s="26"/>
      <c r="CP552" s="26"/>
      <c r="CQ552" s="26"/>
      <c r="CR552" s="26"/>
      <c r="CS552" s="26"/>
      <c r="CT552" s="26"/>
      <c r="CU552" s="26"/>
      <c r="CV552" s="26"/>
      <c r="CW552" s="26"/>
      <c r="CX552" s="26"/>
      <c r="CY552" s="26"/>
      <c r="CZ552" s="26"/>
      <c r="DA552" s="26"/>
      <c r="DB552" s="26"/>
      <c r="DC552" s="26"/>
      <c r="DD552" s="26"/>
    </row>
    <row r="553" spans="59:108" x14ac:dyDescent="0.2">
      <c r="BG553" s="26"/>
      <c r="BH553" s="26"/>
      <c r="BI553" s="26"/>
      <c r="BJ553" s="26"/>
      <c r="BK553" s="26"/>
      <c r="BL553" s="26"/>
      <c r="BM553" s="26"/>
      <c r="BN553" s="26"/>
      <c r="BO553" s="26"/>
      <c r="BP553" s="26"/>
      <c r="BQ553" s="26"/>
      <c r="BR553" s="26"/>
      <c r="BS553" s="26"/>
      <c r="BT553" s="26"/>
      <c r="BU553" s="26"/>
      <c r="BV553" s="26"/>
      <c r="BW553" s="26"/>
      <c r="BX553" s="26"/>
      <c r="BY553" s="26"/>
      <c r="BZ553" s="26"/>
      <c r="CA553" s="26"/>
      <c r="CB553" s="26"/>
      <c r="CC553" s="26"/>
      <c r="CD553" s="26"/>
      <c r="CE553" s="26"/>
      <c r="CF553" s="26"/>
      <c r="CG553" s="26"/>
      <c r="CH553" s="26"/>
      <c r="CI553" s="26"/>
      <c r="CJ553" s="26"/>
      <c r="CK553" s="26"/>
      <c r="CL553" s="26"/>
      <c r="CM553" s="26"/>
      <c r="CN553" s="26"/>
      <c r="CO553" s="26"/>
      <c r="CP553" s="26"/>
      <c r="CQ553" s="26"/>
      <c r="CR553" s="26"/>
      <c r="CS553" s="26"/>
      <c r="CT553" s="26"/>
      <c r="CU553" s="26"/>
      <c r="CV553" s="26"/>
      <c r="CW553" s="26"/>
      <c r="CX553" s="26"/>
      <c r="CY553" s="26"/>
      <c r="CZ553" s="26"/>
      <c r="DA553" s="26"/>
      <c r="DB553" s="26"/>
      <c r="DC553" s="26"/>
      <c r="DD553" s="26"/>
    </row>
    <row r="554" spans="59:108" x14ac:dyDescent="0.2">
      <c r="BG554" s="26"/>
      <c r="BH554" s="26"/>
      <c r="BI554" s="26"/>
      <c r="BJ554" s="26"/>
      <c r="BK554" s="26"/>
      <c r="BL554" s="26"/>
      <c r="BM554" s="26"/>
      <c r="BN554" s="26"/>
      <c r="BO554" s="26"/>
      <c r="BP554" s="26"/>
      <c r="BQ554" s="26"/>
      <c r="BR554" s="26"/>
      <c r="BS554" s="26"/>
      <c r="BT554" s="26"/>
      <c r="BU554" s="26"/>
      <c r="BV554" s="26"/>
      <c r="BW554" s="26"/>
      <c r="BX554" s="26"/>
      <c r="BY554" s="26"/>
      <c r="BZ554" s="26"/>
      <c r="CA554" s="26"/>
      <c r="CB554" s="26"/>
      <c r="CC554" s="26"/>
      <c r="CD554" s="26"/>
      <c r="CE554" s="26"/>
      <c r="CF554" s="26"/>
      <c r="CG554" s="26"/>
      <c r="CH554" s="26"/>
      <c r="CI554" s="26"/>
      <c r="CJ554" s="26"/>
      <c r="CK554" s="26"/>
      <c r="CL554" s="26"/>
      <c r="CM554" s="26"/>
      <c r="CN554" s="26"/>
      <c r="CO554" s="26"/>
      <c r="CP554" s="26"/>
      <c r="CQ554" s="26"/>
      <c r="CR554" s="26"/>
      <c r="CS554" s="26"/>
      <c r="CT554" s="26"/>
      <c r="CU554" s="26"/>
      <c r="CV554" s="26"/>
      <c r="CW554" s="26"/>
      <c r="CX554" s="26"/>
      <c r="CY554" s="26"/>
      <c r="CZ554" s="26"/>
      <c r="DA554" s="26"/>
      <c r="DB554" s="26"/>
      <c r="DC554" s="26"/>
      <c r="DD554" s="26"/>
    </row>
    <row r="555" spans="59:108" x14ac:dyDescent="0.2">
      <c r="BG555" s="26"/>
      <c r="BH555" s="26"/>
      <c r="BI555" s="26"/>
      <c r="BJ555" s="26"/>
      <c r="BK555" s="26"/>
      <c r="BL555" s="26"/>
      <c r="BM555" s="26"/>
      <c r="BN555" s="26"/>
      <c r="BO555" s="26"/>
      <c r="BP555" s="26"/>
      <c r="BQ555" s="26"/>
      <c r="BR555" s="26"/>
      <c r="BS555" s="26"/>
      <c r="BT555" s="26"/>
      <c r="BU555" s="26"/>
      <c r="BV555" s="26"/>
      <c r="BW555" s="26"/>
      <c r="BX555" s="26"/>
      <c r="BY555" s="26"/>
      <c r="BZ555" s="26"/>
      <c r="CA555" s="26"/>
      <c r="CB555" s="26"/>
      <c r="CC555" s="26"/>
      <c r="CD555" s="26"/>
      <c r="CE555" s="26"/>
      <c r="CF555" s="26"/>
      <c r="CG555" s="26"/>
      <c r="CH555" s="26"/>
      <c r="CI555" s="26"/>
      <c r="CJ555" s="26"/>
      <c r="CK555" s="26"/>
      <c r="CL555" s="26"/>
      <c r="CM555" s="26"/>
      <c r="CN555" s="26"/>
      <c r="CO555" s="26"/>
      <c r="CP555" s="26"/>
      <c r="CQ555" s="26"/>
      <c r="CR555" s="26"/>
      <c r="CS555" s="26"/>
      <c r="CT555" s="26"/>
      <c r="CU555" s="26"/>
      <c r="CV555" s="26"/>
      <c r="CW555" s="26"/>
      <c r="CX555" s="26"/>
      <c r="CY555" s="26"/>
      <c r="CZ555" s="26"/>
      <c r="DA555" s="26"/>
      <c r="DB555" s="26"/>
      <c r="DC555" s="26"/>
      <c r="DD555" s="26"/>
    </row>
    <row r="556" spans="59:108" x14ac:dyDescent="0.2">
      <c r="BG556" s="26"/>
      <c r="BH556" s="26"/>
      <c r="BI556" s="26"/>
      <c r="BJ556" s="26"/>
      <c r="BK556" s="26"/>
      <c r="BL556" s="26"/>
      <c r="BM556" s="26"/>
      <c r="BN556" s="26"/>
      <c r="BO556" s="26"/>
      <c r="BP556" s="26"/>
      <c r="BQ556" s="26"/>
      <c r="BR556" s="26"/>
      <c r="BS556" s="26"/>
      <c r="BT556" s="26"/>
      <c r="BU556" s="26"/>
      <c r="BV556" s="26"/>
      <c r="BW556" s="26"/>
      <c r="BX556" s="26"/>
      <c r="BY556" s="26"/>
      <c r="BZ556" s="26"/>
      <c r="CA556" s="26"/>
      <c r="CB556" s="26"/>
      <c r="CC556" s="26"/>
      <c r="CD556" s="26"/>
      <c r="CE556" s="26"/>
      <c r="CF556" s="26"/>
      <c r="CG556" s="26"/>
      <c r="CH556" s="26"/>
      <c r="CI556" s="26"/>
      <c r="CJ556" s="26"/>
      <c r="CK556" s="26"/>
      <c r="CL556" s="26"/>
      <c r="CM556" s="26"/>
      <c r="CN556" s="26"/>
      <c r="CO556" s="26"/>
      <c r="CP556" s="26"/>
      <c r="CQ556" s="26"/>
      <c r="CR556" s="26"/>
      <c r="CS556" s="26"/>
      <c r="CT556" s="26"/>
      <c r="CU556" s="26"/>
      <c r="CV556" s="26"/>
      <c r="CW556" s="26"/>
      <c r="CX556" s="26"/>
      <c r="CY556" s="26"/>
      <c r="CZ556" s="26"/>
      <c r="DA556" s="26"/>
      <c r="DB556" s="26"/>
      <c r="DC556" s="26"/>
      <c r="DD556" s="26"/>
    </row>
    <row r="557" spans="59:108" x14ac:dyDescent="0.2">
      <c r="BG557" s="26"/>
      <c r="BH557" s="26"/>
      <c r="BI557" s="26"/>
      <c r="BJ557" s="26"/>
      <c r="BK557" s="26"/>
      <c r="BL557" s="26"/>
      <c r="BM557" s="26"/>
      <c r="BN557" s="26"/>
      <c r="BO557" s="26"/>
      <c r="BP557" s="26"/>
      <c r="BQ557" s="26"/>
      <c r="BR557" s="26"/>
      <c r="BS557" s="26"/>
      <c r="BT557" s="26"/>
      <c r="BU557" s="26"/>
      <c r="BV557" s="26"/>
      <c r="BW557" s="26"/>
      <c r="BX557" s="26"/>
      <c r="BY557" s="26"/>
      <c r="BZ557" s="26"/>
      <c r="CA557" s="26"/>
      <c r="CB557" s="26"/>
      <c r="CC557" s="26"/>
      <c r="CD557" s="26"/>
      <c r="CE557" s="26"/>
      <c r="CF557" s="26"/>
      <c r="CG557" s="26"/>
      <c r="CH557" s="26"/>
      <c r="CI557" s="26"/>
      <c r="CJ557" s="26"/>
      <c r="CK557" s="26"/>
      <c r="CL557" s="26"/>
      <c r="CM557" s="26"/>
      <c r="CN557" s="26"/>
      <c r="CO557" s="26"/>
      <c r="CP557" s="26"/>
      <c r="CQ557" s="26"/>
      <c r="CR557" s="26"/>
      <c r="CS557" s="26"/>
      <c r="CT557" s="26"/>
      <c r="CU557" s="26"/>
      <c r="CV557" s="26"/>
      <c r="CW557" s="26"/>
      <c r="CX557" s="26"/>
      <c r="CY557" s="26"/>
      <c r="CZ557" s="26"/>
      <c r="DA557" s="26"/>
      <c r="DB557" s="26"/>
      <c r="DC557" s="26"/>
      <c r="DD557" s="26"/>
    </row>
    <row r="558" spans="59:108" x14ac:dyDescent="0.2">
      <c r="BG558" s="26"/>
      <c r="BH558" s="26"/>
      <c r="BI558" s="26"/>
      <c r="BJ558" s="26"/>
      <c r="BK558" s="26"/>
      <c r="BL558" s="26"/>
      <c r="BM558" s="26"/>
      <c r="BN558" s="26"/>
      <c r="BO558" s="26"/>
      <c r="BP558" s="26"/>
      <c r="BQ558" s="26"/>
      <c r="BR558" s="26"/>
      <c r="BS558" s="26"/>
      <c r="BT558" s="26"/>
      <c r="BU558" s="26"/>
      <c r="BV558" s="26"/>
      <c r="BW558" s="26"/>
      <c r="BX558" s="26"/>
      <c r="BY558" s="26"/>
      <c r="BZ558" s="26"/>
      <c r="CA558" s="26"/>
      <c r="CB558" s="26"/>
      <c r="CC558" s="26"/>
      <c r="CD558" s="26"/>
      <c r="CE558" s="26"/>
      <c r="CF558" s="26"/>
      <c r="CG558" s="26"/>
      <c r="CH558" s="26"/>
      <c r="CI558" s="26"/>
      <c r="CJ558" s="26"/>
      <c r="CK558" s="26"/>
      <c r="CL558" s="26"/>
      <c r="CM558" s="26"/>
      <c r="CN558" s="26"/>
      <c r="CO558" s="26"/>
      <c r="CP558" s="26"/>
      <c r="CQ558" s="26"/>
      <c r="CR558" s="26"/>
      <c r="CS558" s="26"/>
      <c r="CT558" s="26"/>
      <c r="CU558" s="26"/>
      <c r="CV558" s="26"/>
      <c r="CW558" s="26"/>
      <c r="CX558" s="26"/>
      <c r="CY558" s="26"/>
      <c r="CZ558" s="26"/>
      <c r="DA558" s="26"/>
      <c r="DB558" s="26"/>
      <c r="DC558" s="26"/>
      <c r="DD558" s="26"/>
    </row>
    <row r="559" spans="59:108" x14ac:dyDescent="0.2">
      <c r="BG559" s="26"/>
      <c r="BH559" s="26"/>
      <c r="BI559" s="26"/>
      <c r="BJ559" s="26"/>
      <c r="BK559" s="26"/>
      <c r="BL559" s="26"/>
      <c r="BM559" s="26"/>
      <c r="BN559" s="26"/>
      <c r="BO559" s="26"/>
      <c r="BP559" s="26"/>
      <c r="BQ559" s="26"/>
      <c r="BR559" s="26"/>
      <c r="BS559" s="26"/>
      <c r="BT559" s="26"/>
      <c r="BU559" s="26"/>
      <c r="BV559" s="26"/>
      <c r="BW559" s="26"/>
      <c r="BX559" s="26"/>
      <c r="BY559" s="26"/>
      <c r="BZ559" s="26"/>
      <c r="CA559" s="26"/>
      <c r="CB559" s="26"/>
      <c r="CC559" s="26"/>
      <c r="CD559" s="26"/>
      <c r="CE559" s="26"/>
      <c r="CF559" s="26"/>
      <c r="CG559" s="26"/>
      <c r="CH559" s="26"/>
      <c r="CI559" s="26"/>
      <c r="CJ559" s="26"/>
      <c r="CK559" s="26"/>
      <c r="CL559" s="26"/>
      <c r="CM559" s="26"/>
      <c r="CN559" s="26"/>
      <c r="CO559" s="26"/>
      <c r="CP559" s="26"/>
      <c r="CQ559" s="26"/>
      <c r="CR559" s="26"/>
      <c r="CS559" s="26"/>
      <c r="CT559" s="26"/>
      <c r="CU559" s="26"/>
      <c r="CV559" s="26"/>
      <c r="CW559" s="26"/>
      <c r="CX559" s="26"/>
      <c r="CY559" s="26"/>
      <c r="CZ559" s="26"/>
      <c r="DA559" s="26"/>
      <c r="DB559" s="26"/>
      <c r="DC559" s="26"/>
      <c r="DD559" s="26"/>
    </row>
    <row r="560" spans="59:108" x14ac:dyDescent="0.2">
      <c r="BG560" s="26"/>
      <c r="BH560" s="26"/>
      <c r="BI560" s="26"/>
      <c r="BJ560" s="26"/>
      <c r="BK560" s="26"/>
      <c r="BL560" s="26"/>
      <c r="BM560" s="26"/>
      <c r="BN560" s="26"/>
      <c r="BO560" s="26"/>
      <c r="BP560" s="26"/>
      <c r="BQ560" s="26"/>
      <c r="BR560" s="26"/>
      <c r="BS560" s="26"/>
      <c r="BT560" s="26"/>
      <c r="BU560" s="26"/>
      <c r="BV560" s="26"/>
      <c r="BW560" s="26"/>
      <c r="BX560" s="26"/>
      <c r="BY560" s="26"/>
      <c r="BZ560" s="26"/>
      <c r="CA560" s="26"/>
      <c r="CB560" s="26"/>
      <c r="CC560" s="26"/>
      <c r="CD560" s="26"/>
      <c r="CE560" s="26"/>
      <c r="CF560" s="26"/>
      <c r="CG560" s="26"/>
      <c r="CH560" s="26"/>
      <c r="CI560" s="26"/>
      <c r="CJ560" s="26"/>
      <c r="CK560" s="26"/>
      <c r="CL560" s="26"/>
      <c r="CM560" s="26"/>
      <c r="CN560" s="26"/>
      <c r="CO560" s="26"/>
      <c r="CP560" s="26"/>
      <c r="CQ560" s="26"/>
      <c r="CR560" s="26"/>
      <c r="CS560" s="26"/>
      <c r="CT560" s="26"/>
      <c r="CU560" s="26"/>
      <c r="CV560" s="26"/>
      <c r="CW560" s="26"/>
      <c r="CX560" s="26"/>
      <c r="CY560" s="26"/>
      <c r="CZ560" s="26"/>
      <c r="DA560" s="26"/>
      <c r="DB560" s="26"/>
      <c r="DC560" s="26"/>
      <c r="DD560" s="26"/>
    </row>
    <row r="561" spans="59:108" x14ac:dyDescent="0.2">
      <c r="BG561" s="26"/>
      <c r="BH561" s="26"/>
      <c r="BI561" s="26"/>
      <c r="BJ561" s="26"/>
      <c r="BK561" s="26"/>
      <c r="BL561" s="26"/>
      <c r="BM561" s="26"/>
      <c r="BN561" s="26"/>
      <c r="BO561" s="26"/>
      <c r="BP561" s="26"/>
      <c r="BQ561" s="26"/>
      <c r="BR561" s="26"/>
      <c r="BS561" s="26"/>
      <c r="BT561" s="26"/>
      <c r="BU561" s="26"/>
      <c r="BV561" s="26"/>
      <c r="BW561" s="26"/>
      <c r="BX561" s="26"/>
      <c r="BY561" s="26"/>
      <c r="BZ561" s="26"/>
      <c r="CA561" s="26"/>
      <c r="CB561" s="26"/>
      <c r="CC561" s="26"/>
      <c r="CD561" s="26"/>
      <c r="CE561" s="26"/>
      <c r="CF561" s="26"/>
      <c r="CG561" s="26"/>
      <c r="CH561" s="26"/>
      <c r="CI561" s="26"/>
      <c r="CJ561" s="26"/>
      <c r="CK561" s="26"/>
      <c r="CL561" s="26"/>
      <c r="CM561" s="26"/>
      <c r="CN561" s="26"/>
      <c r="CO561" s="26"/>
      <c r="CP561" s="26"/>
      <c r="CQ561" s="26"/>
      <c r="CR561" s="26"/>
      <c r="CS561" s="26"/>
      <c r="CT561" s="26"/>
      <c r="CU561" s="26"/>
      <c r="CV561" s="26"/>
      <c r="CW561" s="26"/>
      <c r="CX561" s="26"/>
      <c r="CY561" s="26"/>
      <c r="CZ561" s="26"/>
      <c r="DA561" s="26"/>
      <c r="DB561" s="26"/>
      <c r="DC561" s="26"/>
      <c r="DD561" s="26"/>
    </row>
    <row r="562" spans="59:108" x14ac:dyDescent="0.2">
      <c r="BG562" s="26"/>
      <c r="BH562" s="26"/>
      <c r="BI562" s="26"/>
      <c r="BJ562" s="26"/>
      <c r="BK562" s="26"/>
      <c r="BL562" s="26"/>
      <c r="BM562" s="26"/>
      <c r="BN562" s="26"/>
      <c r="BO562" s="26"/>
      <c r="BP562" s="26"/>
      <c r="BQ562" s="26"/>
      <c r="BR562" s="26"/>
      <c r="BS562" s="26"/>
      <c r="BT562" s="26"/>
      <c r="BU562" s="26"/>
      <c r="BV562" s="26"/>
      <c r="BW562" s="26"/>
      <c r="BX562" s="26"/>
      <c r="BY562" s="26"/>
      <c r="BZ562" s="26"/>
      <c r="CA562" s="26"/>
      <c r="CB562" s="26"/>
      <c r="CC562" s="26"/>
      <c r="CD562" s="26"/>
      <c r="CE562" s="26"/>
      <c r="CF562" s="26"/>
      <c r="CG562" s="26"/>
      <c r="CH562" s="26"/>
      <c r="CI562" s="26"/>
      <c r="CJ562" s="26"/>
      <c r="CK562" s="26"/>
      <c r="CL562" s="26"/>
      <c r="CM562" s="26"/>
      <c r="CN562" s="26"/>
      <c r="CO562" s="26"/>
      <c r="CP562" s="26"/>
      <c r="CQ562" s="26"/>
      <c r="CR562" s="26"/>
      <c r="CS562" s="26"/>
      <c r="CT562" s="26"/>
      <c r="CU562" s="26"/>
      <c r="CV562" s="26"/>
      <c r="CW562" s="26"/>
      <c r="CX562" s="26"/>
      <c r="CY562" s="26"/>
      <c r="CZ562" s="26"/>
      <c r="DA562" s="26"/>
      <c r="DB562" s="26"/>
      <c r="DC562" s="26"/>
      <c r="DD562" s="26"/>
    </row>
    <row r="563" spans="59:108" x14ac:dyDescent="0.2">
      <c r="BG563" s="26"/>
      <c r="BH563" s="26"/>
      <c r="BI563" s="26"/>
      <c r="BJ563" s="26"/>
      <c r="BK563" s="26"/>
      <c r="BL563" s="26"/>
      <c r="BM563" s="26"/>
      <c r="BN563" s="26"/>
      <c r="BO563" s="26"/>
      <c r="BP563" s="26"/>
      <c r="BQ563" s="26"/>
      <c r="BR563" s="26"/>
      <c r="BS563" s="26"/>
      <c r="BT563" s="26"/>
      <c r="BU563" s="26"/>
      <c r="BV563" s="26"/>
      <c r="BW563" s="26"/>
      <c r="BX563" s="26"/>
      <c r="BY563" s="26"/>
      <c r="BZ563" s="26"/>
      <c r="CA563" s="26"/>
      <c r="CB563" s="26"/>
      <c r="CC563" s="26"/>
      <c r="CD563" s="26"/>
      <c r="CE563" s="26"/>
      <c r="CF563" s="26"/>
      <c r="CG563" s="26"/>
      <c r="CH563" s="26"/>
      <c r="CI563" s="26"/>
      <c r="CJ563" s="26"/>
      <c r="CK563" s="26"/>
      <c r="CL563" s="26"/>
      <c r="CM563" s="26"/>
      <c r="CN563" s="26"/>
      <c r="CO563" s="26"/>
      <c r="CP563" s="26"/>
      <c r="CQ563" s="26"/>
      <c r="CR563" s="26"/>
      <c r="CS563" s="26"/>
      <c r="CT563" s="26"/>
      <c r="CU563" s="26"/>
      <c r="CV563" s="26"/>
      <c r="CW563" s="26"/>
      <c r="CX563" s="26"/>
      <c r="CY563" s="26"/>
      <c r="CZ563" s="26"/>
      <c r="DA563" s="26"/>
      <c r="DB563" s="26"/>
      <c r="DC563" s="26"/>
      <c r="DD563" s="26"/>
    </row>
    <row r="564" spans="59:108" x14ac:dyDescent="0.2">
      <c r="BG564" s="26"/>
      <c r="BH564" s="26"/>
      <c r="BI564" s="26"/>
      <c r="BJ564" s="26"/>
      <c r="BK564" s="26"/>
      <c r="BL564" s="26"/>
      <c r="BM564" s="26"/>
      <c r="BN564" s="26"/>
      <c r="BO564" s="26"/>
      <c r="BP564" s="26"/>
      <c r="BQ564" s="26"/>
      <c r="BR564" s="26"/>
      <c r="BS564" s="26"/>
      <c r="BT564" s="26"/>
      <c r="BU564" s="26"/>
      <c r="BV564" s="26"/>
      <c r="BW564" s="26"/>
      <c r="BX564" s="26"/>
      <c r="BY564" s="26"/>
      <c r="BZ564" s="26"/>
      <c r="CA564" s="26"/>
      <c r="CB564" s="26"/>
      <c r="CC564" s="26"/>
      <c r="CD564" s="26"/>
      <c r="CE564" s="26"/>
      <c r="CF564" s="26"/>
      <c r="CG564" s="26"/>
      <c r="CH564" s="26"/>
      <c r="CI564" s="26"/>
      <c r="CJ564" s="26"/>
      <c r="CK564" s="26"/>
      <c r="CL564" s="26"/>
      <c r="CM564" s="26"/>
      <c r="CN564" s="26"/>
      <c r="CO564" s="26"/>
      <c r="CP564" s="26"/>
      <c r="CQ564" s="26"/>
      <c r="CR564" s="26"/>
      <c r="CS564" s="26"/>
      <c r="CT564" s="26"/>
      <c r="CU564" s="26"/>
      <c r="CV564" s="26"/>
      <c r="CW564" s="26"/>
      <c r="CX564" s="26"/>
      <c r="CY564" s="26"/>
      <c r="CZ564" s="26"/>
      <c r="DA564" s="26"/>
      <c r="DB564" s="26"/>
      <c r="DC564" s="26"/>
      <c r="DD564" s="26"/>
    </row>
    <row r="565" spans="59:108" x14ac:dyDescent="0.2">
      <c r="BG565" s="26"/>
      <c r="BH565" s="26"/>
      <c r="BI565" s="26"/>
      <c r="BJ565" s="26"/>
      <c r="BK565" s="26"/>
      <c r="BL565" s="26"/>
      <c r="BM565" s="26"/>
      <c r="BN565" s="26"/>
      <c r="BO565" s="26"/>
      <c r="BP565" s="26"/>
      <c r="BQ565" s="26"/>
      <c r="BR565" s="26"/>
      <c r="BS565" s="26"/>
      <c r="BT565" s="26"/>
      <c r="BU565" s="26"/>
      <c r="BV565" s="26"/>
      <c r="BW565" s="26"/>
      <c r="BX565" s="26"/>
      <c r="BY565" s="26"/>
      <c r="BZ565" s="26"/>
      <c r="CA565" s="26"/>
      <c r="CB565" s="26"/>
      <c r="CC565" s="26"/>
      <c r="CD565" s="26"/>
      <c r="CE565" s="26"/>
      <c r="CF565" s="26"/>
      <c r="CG565" s="26"/>
      <c r="CH565" s="26"/>
      <c r="CI565" s="26"/>
      <c r="CJ565" s="26"/>
      <c r="CK565" s="26"/>
      <c r="CL565" s="26"/>
      <c r="CM565" s="26"/>
      <c r="CN565" s="26"/>
      <c r="CO565" s="26"/>
      <c r="CP565" s="26"/>
      <c r="CQ565" s="26"/>
      <c r="CR565" s="26"/>
      <c r="CS565" s="26"/>
      <c r="CT565" s="26"/>
      <c r="CU565" s="26"/>
      <c r="CV565" s="26"/>
      <c r="CW565" s="26"/>
      <c r="CX565" s="26"/>
      <c r="CY565" s="26"/>
      <c r="CZ565" s="26"/>
      <c r="DA565" s="26"/>
      <c r="DB565" s="26"/>
      <c r="DC565" s="26"/>
      <c r="DD565" s="26"/>
    </row>
    <row r="566" spans="59:108" x14ac:dyDescent="0.2">
      <c r="BG566" s="26"/>
      <c r="BH566" s="26"/>
      <c r="BI566" s="26"/>
      <c r="BJ566" s="26"/>
      <c r="BK566" s="26"/>
      <c r="BL566" s="26"/>
      <c r="BM566" s="26"/>
      <c r="BN566" s="26"/>
      <c r="BO566" s="26"/>
      <c r="BP566" s="26"/>
      <c r="BQ566" s="26"/>
      <c r="BR566" s="26"/>
      <c r="BS566" s="26"/>
      <c r="BT566" s="26"/>
      <c r="BU566" s="26"/>
      <c r="BV566" s="26"/>
      <c r="BW566" s="26"/>
      <c r="BX566" s="26"/>
      <c r="BY566" s="26"/>
      <c r="BZ566" s="26"/>
      <c r="CA566" s="26"/>
      <c r="CB566" s="26"/>
      <c r="CC566" s="26"/>
      <c r="CD566" s="26"/>
      <c r="CE566" s="26"/>
      <c r="CF566" s="26"/>
      <c r="CG566" s="26"/>
      <c r="CH566" s="26"/>
      <c r="CI566" s="26"/>
      <c r="CJ566" s="26"/>
      <c r="CK566" s="26"/>
      <c r="CL566" s="26"/>
      <c r="CM566" s="26"/>
      <c r="CN566" s="26"/>
      <c r="CO566" s="26"/>
      <c r="CP566" s="26"/>
      <c r="CQ566" s="26"/>
      <c r="CR566" s="26"/>
      <c r="CS566" s="26"/>
      <c r="CT566" s="26"/>
      <c r="CU566" s="26"/>
      <c r="CV566" s="26"/>
      <c r="CW566" s="26"/>
      <c r="CX566" s="26"/>
      <c r="CY566" s="26"/>
      <c r="CZ566" s="26"/>
      <c r="DA566" s="26"/>
      <c r="DB566" s="26"/>
      <c r="DC566" s="26"/>
      <c r="DD566" s="26"/>
    </row>
    <row r="567" spans="59:108" x14ac:dyDescent="0.2">
      <c r="BG567" s="26"/>
      <c r="BH567" s="26"/>
      <c r="BI567" s="26"/>
      <c r="BJ567" s="26"/>
      <c r="BK567" s="26"/>
      <c r="BL567" s="26"/>
      <c r="BM567" s="26"/>
      <c r="BN567" s="26"/>
      <c r="BO567" s="26"/>
      <c r="BP567" s="26"/>
      <c r="BQ567" s="26"/>
      <c r="BR567" s="26"/>
      <c r="BS567" s="26"/>
      <c r="BT567" s="26"/>
      <c r="BU567" s="26"/>
      <c r="BV567" s="26"/>
      <c r="BW567" s="26"/>
      <c r="BX567" s="26"/>
      <c r="BY567" s="26"/>
      <c r="BZ567" s="26"/>
      <c r="CA567" s="26"/>
      <c r="CB567" s="26"/>
      <c r="CC567" s="26"/>
      <c r="CD567" s="26"/>
      <c r="CE567" s="26"/>
      <c r="CF567" s="26"/>
      <c r="CG567" s="26"/>
      <c r="CH567" s="26"/>
      <c r="CI567" s="26"/>
      <c r="CJ567" s="26"/>
      <c r="CK567" s="26"/>
      <c r="CL567" s="26"/>
      <c r="CM567" s="26"/>
      <c r="CN567" s="26"/>
      <c r="CO567" s="26"/>
      <c r="CP567" s="26"/>
      <c r="CQ567" s="26"/>
      <c r="CR567" s="26"/>
      <c r="CS567" s="26"/>
      <c r="CT567" s="26"/>
      <c r="CU567" s="26"/>
      <c r="CV567" s="26"/>
      <c r="CW567" s="26"/>
      <c r="CX567" s="26"/>
      <c r="CY567" s="26"/>
      <c r="CZ567" s="26"/>
      <c r="DA567" s="26"/>
      <c r="DB567" s="26"/>
      <c r="DC567" s="26"/>
      <c r="DD567" s="26"/>
    </row>
    <row r="568" spans="59:108" x14ac:dyDescent="0.2">
      <c r="BG568" s="26"/>
      <c r="BH568" s="26"/>
      <c r="BI568" s="26"/>
      <c r="BJ568" s="26"/>
      <c r="BK568" s="26"/>
      <c r="BL568" s="26"/>
      <c r="BM568" s="26"/>
      <c r="BN568" s="26"/>
      <c r="BO568" s="26"/>
      <c r="BP568" s="26"/>
      <c r="BQ568" s="26"/>
      <c r="BR568" s="26"/>
      <c r="BS568" s="26"/>
      <c r="BT568" s="26"/>
      <c r="BU568" s="26"/>
      <c r="BV568" s="26"/>
      <c r="BW568" s="26"/>
      <c r="BX568" s="26"/>
      <c r="BY568" s="26"/>
      <c r="BZ568" s="26"/>
      <c r="CA568" s="26"/>
      <c r="CB568" s="26"/>
      <c r="CC568" s="26"/>
      <c r="CD568" s="26"/>
      <c r="CE568" s="26"/>
      <c r="CF568" s="26"/>
      <c r="CG568" s="26"/>
      <c r="CH568" s="26"/>
      <c r="CI568" s="26"/>
      <c r="CJ568" s="26"/>
      <c r="CK568" s="26"/>
      <c r="CL568" s="26"/>
      <c r="CM568" s="26"/>
      <c r="CN568" s="26"/>
      <c r="CO568" s="26"/>
      <c r="CP568" s="26"/>
      <c r="CQ568" s="26"/>
      <c r="CR568" s="26"/>
      <c r="CS568" s="26"/>
      <c r="CT568" s="26"/>
      <c r="CU568" s="26"/>
      <c r="CV568" s="26"/>
      <c r="CW568" s="26"/>
      <c r="CX568" s="26"/>
      <c r="CY568" s="26"/>
      <c r="CZ568" s="26"/>
      <c r="DA568" s="26"/>
      <c r="DB568" s="26"/>
      <c r="DC568" s="26"/>
      <c r="DD568" s="26"/>
    </row>
    <row r="569" spans="59:108" x14ac:dyDescent="0.2">
      <c r="BG569" s="26"/>
      <c r="BH569" s="26"/>
      <c r="BI569" s="26"/>
      <c r="BJ569" s="26"/>
      <c r="BK569" s="26"/>
      <c r="BL569" s="26"/>
      <c r="BM569" s="26"/>
      <c r="BN569" s="26"/>
      <c r="BO569" s="26"/>
      <c r="BP569" s="26"/>
      <c r="BQ569" s="26"/>
      <c r="BR569" s="26"/>
      <c r="BS569" s="26"/>
      <c r="BT569" s="26"/>
      <c r="BU569" s="26"/>
      <c r="BV569" s="26"/>
      <c r="BW569" s="26"/>
      <c r="BX569" s="26"/>
      <c r="BY569" s="26"/>
      <c r="BZ569" s="26"/>
      <c r="CA569" s="26"/>
      <c r="CB569" s="26"/>
      <c r="CC569" s="26"/>
      <c r="CD569" s="26"/>
      <c r="CE569" s="26"/>
      <c r="CF569" s="26"/>
      <c r="CG569" s="26"/>
      <c r="CH569" s="26"/>
      <c r="CI569" s="26"/>
      <c r="CJ569" s="26"/>
      <c r="CK569" s="26"/>
      <c r="CL569" s="26"/>
      <c r="CM569" s="26"/>
      <c r="CN569" s="26"/>
      <c r="CO569" s="26"/>
      <c r="CP569" s="26"/>
      <c r="CQ569" s="26"/>
      <c r="CR569" s="26"/>
      <c r="CS569" s="26"/>
      <c r="CT569" s="26"/>
      <c r="CU569" s="26"/>
      <c r="CV569" s="26"/>
      <c r="CW569" s="26"/>
      <c r="CX569" s="26"/>
      <c r="CY569" s="26"/>
      <c r="CZ569" s="26"/>
      <c r="DA569" s="26"/>
      <c r="DB569" s="26"/>
      <c r="DC569" s="26"/>
      <c r="DD569" s="26"/>
    </row>
    <row r="570" spans="59:108" x14ac:dyDescent="0.2">
      <c r="BG570" s="26"/>
      <c r="BH570" s="26"/>
      <c r="BI570" s="26"/>
      <c r="BJ570" s="26"/>
      <c r="BK570" s="26"/>
      <c r="BL570" s="26"/>
      <c r="BM570" s="26"/>
      <c r="BN570" s="26"/>
      <c r="BO570" s="26"/>
      <c r="BP570" s="26"/>
      <c r="BQ570" s="26"/>
      <c r="BR570" s="26"/>
      <c r="BS570" s="26"/>
      <c r="BT570" s="26"/>
      <c r="BU570" s="26"/>
      <c r="BV570" s="26"/>
      <c r="BW570" s="26"/>
      <c r="BX570" s="26"/>
      <c r="BY570" s="26"/>
      <c r="BZ570" s="26"/>
      <c r="CA570" s="26"/>
      <c r="CB570" s="26"/>
      <c r="CC570" s="26"/>
      <c r="CD570" s="26"/>
      <c r="CE570" s="26"/>
      <c r="CF570" s="26"/>
      <c r="CG570" s="26"/>
      <c r="CH570" s="26"/>
      <c r="CI570" s="26"/>
      <c r="CJ570" s="26"/>
      <c r="CK570" s="26"/>
      <c r="CL570" s="26"/>
      <c r="CM570" s="26"/>
      <c r="CN570" s="26"/>
      <c r="CO570" s="26"/>
      <c r="CP570" s="26"/>
      <c r="CQ570" s="26"/>
      <c r="CR570" s="26"/>
      <c r="CS570" s="26"/>
      <c r="CT570" s="26"/>
      <c r="CU570" s="26"/>
      <c r="CV570" s="26"/>
      <c r="CW570" s="26"/>
      <c r="CX570" s="26"/>
      <c r="CY570" s="26"/>
      <c r="CZ570" s="26"/>
      <c r="DA570" s="26"/>
      <c r="DB570" s="26"/>
      <c r="DC570" s="26"/>
      <c r="DD570" s="26"/>
    </row>
    <row r="571" spans="59:108" x14ac:dyDescent="0.2">
      <c r="BG571" s="26"/>
      <c r="BH571" s="26"/>
      <c r="BI571" s="26"/>
      <c r="BJ571" s="26"/>
      <c r="BK571" s="26"/>
      <c r="BL571" s="26"/>
      <c r="BM571" s="26"/>
      <c r="BN571" s="26"/>
      <c r="BO571" s="26"/>
      <c r="BP571" s="26"/>
      <c r="BQ571" s="26"/>
      <c r="BR571" s="26"/>
      <c r="BS571" s="26"/>
      <c r="BT571" s="26"/>
      <c r="BU571" s="26"/>
      <c r="BV571" s="26"/>
      <c r="BW571" s="26"/>
      <c r="BX571" s="26"/>
      <c r="BY571" s="26"/>
      <c r="BZ571" s="26"/>
      <c r="CA571" s="26"/>
      <c r="CB571" s="26"/>
      <c r="CC571" s="26"/>
      <c r="CD571" s="26"/>
      <c r="CE571" s="26"/>
      <c r="CF571" s="26"/>
      <c r="CG571" s="26"/>
      <c r="CH571" s="26"/>
      <c r="CI571" s="26"/>
      <c r="CJ571" s="26"/>
      <c r="CK571" s="26"/>
      <c r="CL571" s="26"/>
      <c r="CM571" s="26"/>
      <c r="CN571" s="26"/>
      <c r="CO571" s="26"/>
      <c r="CP571" s="26"/>
      <c r="CQ571" s="26"/>
      <c r="CR571" s="26"/>
      <c r="CS571" s="26"/>
      <c r="CT571" s="26"/>
      <c r="CU571" s="26"/>
      <c r="CV571" s="26"/>
      <c r="CW571" s="26"/>
      <c r="CX571" s="26"/>
      <c r="CY571" s="26"/>
      <c r="CZ571" s="26"/>
      <c r="DA571" s="26"/>
      <c r="DB571" s="26"/>
      <c r="DC571" s="26"/>
      <c r="DD571" s="26"/>
    </row>
    <row r="572" spans="59:108" x14ac:dyDescent="0.2">
      <c r="BG572" s="26"/>
      <c r="BH572" s="26"/>
      <c r="BI572" s="26"/>
      <c r="BJ572" s="26"/>
      <c r="BK572" s="26"/>
      <c r="BL572" s="26"/>
      <c r="BM572" s="26"/>
      <c r="BN572" s="26"/>
      <c r="BO572" s="26"/>
      <c r="BP572" s="26"/>
      <c r="BQ572" s="26"/>
      <c r="BR572" s="26"/>
      <c r="BS572" s="26"/>
      <c r="BT572" s="26"/>
      <c r="BU572" s="26"/>
      <c r="BV572" s="26"/>
      <c r="BW572" s="26"/>
      <c r="BX572" s="26"/>
      <c r="BY572" s="26"/>
      <c r="BZ572" s="26"/>
      <c r="CA572" s="26"/>
      <c r="CB572" s="26"/>
      <c r="CC572" s="26"/>
      <c r="CD572" s="26"/>
      <c r="CE572" s="26"/>
      <c r="CF572" s="26"/>
      <c r="CG572" s="26"/>
      <c r="CH572" s="26"/>
      <c r="CI572" s="26"/>
      <c r="CJ572" s="26"/>
      <c r="CK572" s="26"/>
      <c r="CL572" s="26"/>
      <c r="CM572" s="26"/>
      <c r="CN572" s="26"/>
      <c r="CO572" s="26"/>
      <c r="CP572" s="26"/>
      <c r="CQ572" s="26"/>
      <c r="CR572" s="26"/>
      <c r="CS572" s="26"/>
      <c r="CT572" s="26"/>
      <c r="CU572" s="26"/>
      <c r="CV572" s="26"/>
      <c r="CW572" s="26"/>
      <c r="CX572" s="26"/>
      <c r="CY572" s="26"/>
      <c r="CZ572" s="26"/>
      <c r="DA572" s="26"/>
      <c r="DB572" s="26"/>
      <c r="DC572" s="26"/>
      <c r="DD572" s="26"/>
    </row>
    <row r="573" spans="59:108" x14ac:dyDescent="0.2">
      <c r="BG573" s="26"/>
      <c r="BH573" s="26"/>
      <c r="BI573" s="26"/>
      <c r="BJ573" s="26"/>
      <c r="BK573" s="26"/>
      <c r="BL573" s="26"/>
      <c r="BM573" s="26"/>
      <c r="BN573" s="26"/>
      <c r="BO573" s="26"/>
      <c r="BP573" s="26"/>
      <c r="BQ573" s="26"/>
      <c r="BR573" s="26"/>
      <c r="BS573" s="26"/>
      <c r="BT573" s="26"/>
      <c r="BU573" s="26"/>
      <c r="BV573" s="26"/>
      <c r="BW573" s="26"/>
      <c r="BX573" s="26"/>
      <c r="BY573" s="26"/>
      <c r="BZ573" s="26"/>
      <c r="CA573" s="26"/>
      <c r="CB573" s="26"/>
      <c r="CC573" s="26"/>
      <c r="CD573" s="26"/>
      <c r="CE573" s="26"/>
      <c r="CF573" s="26"/>
      <c r="CG573" s="26"/>
      <c r="CH573" s="26"/>
      <c r="CI573" s="26"/>
      <c r="CJ573" s="26"/>
      <c r="CK573" s="26"/>
      <c r="CL573" s="26"/>
      <c r="CM573" s="26"/>
      <c r="CN573" s="26"/>
      <c r="CO573" s="26"/>
      <c r="CP573" s="26"/>
      <c r="CQ573" s="26"/>
      <c r="CR573" s="26"/>
      <c r="CS573" s="26"/>
      <c r="CT573" s="26"/>
      <c r="CU573" s="26"/>
      <c r="CV573" s="26"/>
      <c r="CW573" s="26"/>
      <c r="CX573" s="26"/>
      <c r="CY573" s="26"/>
      <c r="CZ573" s="26"/>
      <c r="DA573" s="26"/>
      <c r="DB573" s="26"/>
      <c r="DC573" s="26"/>
      <c r="DD573" s="26"/>
    </row>
    <row r="574" spans="59:108" x14ac:dyDescent="0.2">
      <c r="BG574" s="26"/>
      <c r="BH574" s="26"/>
      <c r="BI574" s="26"/>
      <c r="BJ574" s="26"/>
      <c r="BK574" s="26"/>
      <c r="BL574" s="26"/>
      <c r="BM574" s="26"/>
      <c r="BN574" s="26"/>
      <c r="BO574" s="26"/>
      <c r="BP574" s="26"/>
      <c r="BQ574" s="26"/>
      <c r="BR574" s="26"/>
      <c r="BS574" s="26"/>
      <c r="BT574" s="26"/>
      <c r="BU574" s="26"/>
      <c r="BV574" s="26"/>
      <c r="BW574" s="26"/>
      <c r="BX574" s="26"/>
      <c r="BY574" s="26"/>
      <c r="BZ574" s="26"/>
      <c r="CA574" s="26"/>
      <c r="CB574" s="26"/>
      <c r="CC574" s="26"/>
      <c r="CD574" s="26"/>
      <c r="CE574" s="26"/>
      <c r="CF574" s="26"/>
      <c r="CG574" s="26"/>
      <c r="CH574" s="26"/>
      <c r="CI574" s="26"/>
      <c r="CJ574" s="26"/>
      <c r="CK574" s="26"/>
      <c r="CL574" s="26"/>
      <c r="CM574" s="26"/>
      <c r="CN574" s="26"/>
      <c r="CO574" s="26"/>
      <c r="CP574" s="26"/>
      <c r="CQ574" s="26"/>
      <c r="CR574" s="26"/>
      <c r="CS574" s="26"/>
      <c r="CT574" s="26"/>
      <c r="CU574" s="26"/>
      <c r="CV574" s="26"/>
      <c r="CW574" s="26"/>
      <c r="CX574" s="26"/>
      <c r="CY574" s="26"/>
      <c r="CZ574" s="26"/>
      <c r="DA574" s="26"/>
      <c r="DB574" s="26"/>
      <c r="DC574" s="26"/>
      <c r="DD574" s="26"/>
    </row>
    <row r="575" spans="59:108" x14ac:dyDescent="0.2">
      <c r="BG575" s="26"/>
      <c r="BH575" s="26"/>
      <c r="BI575" s="26"/>
      <c r="BJ575" s="26"/>
      <c r="BK575" s="26"/>
      <c r="BL575" s="26"/>
      <c r="BM575" s="26"/>
      <c r="BN575" s="26"/>
      <c r="BO575" s="26"/>
      <c r="BP575" s="26"/>
      <c r="BQ575" s="26"/>
      <c r="BR575" s="26"/>
      <c r="BS575" s="26"/>
      <c r="BT575" s="26"/>
      <c r="BU575" s="26"/>
      <c r="BV575" s="26"/>
      <c r="BW575" s="26"/>
      <c r="BX575" s="26"/>
      <c r="BY575" s="26"/>
      <c r="BZ575" s="26"/>
      <c r="CA575" s="26"/>
      <c r="CB575" s="26"/>
      <c r="CC575" s="26"/>
      <c r="CD575" s="26"/>
      <c r="CE575" s="26"/>
      <c r="CF575" s="26"/>
      <c r="CG575" s="26"/>
      <c r="CH575" s="26"/>
      <c r="CI575" s="26"/>
      <c r="CJ575" s="26"/>
      <c r="CK575" s="26"/>
      <c r="CL575" s="26"/>
      <c r="CM575" s="26"/>
      <c r="CN575" s="26"/>
      <c r="CO575" s="26"/>
      <c r="CP575" s="26"/>
      <c r="CQ575" s="26"/>
      <c r="CR575" s="26"/>
      <c r="CS575" s="26"/>
      <c r="CT575" s="26"/>
      <c r="CU575" s="26"/>
      <c r="CV575" s="26"/>
      <c r="CW575" s="26"/>
      <c r="CX575" s="26"/>
      <c r="CY575" s="26"/>
      <c r="CZ575" s="26"/>
      <c r="DA575" s="26"/>
      <c r="DB575" s="26"/>
      <c r="DC575" s="26"/>
      <c r="DD575" s="26"/>
    </row>
    <row r="576" spans="59:108" x14ac:dyDescent="0.2">
      <c r="BG576" s="26"/>
      <c r="BH576" s="26"/>
      <c r="BI576" s="26"/>
      <c r="BJ576" s="26"/>
      <c r="BK576" s="26"/>
      <c r="BL576" s="26"/>
      <c r="BM576" s="26"/>
      <c r="BN576" s="26"/>
      <c r="BO576" s="26"/>
      <c r="BP576" s="26"/>
      <c r="BQ576" s="26"/>
      <c r="BR576" s="26"/>
      <c r="BS576" s="26"/>
      <c r="BT576" s="26"/>
      <c r="BU576" s="26"/>
      <c r="BV576" s="26"/>
      <c r="BW576" s="26"/>
      <c r="BX576" s="26"/>
      <c r="BY576" s="26"/>
      <c r="BZ576" s="26"/>
      <c r="CA576" s="26"/>
      <c r="CB576" s="26"/>
      <c r="CC576" s="26"/>
      <c r="CD576" s="26"/>
      <c r="CE576" s="26"/>
      <c r="CF576" s="26"/>
      <c r="CG576" s="26"/>
      <c r="CH576" s="26"/>
      <c r="CI576" s="26"/>
      <c r="CJ576" s="26"/>
      <c r="CK576" s="26"/>
      <c r="CL576" s="26"/>
      <c r="CM576" s="26"/>
      <c r="CN576" s="26"/>
      <c r="CO576" s="26"/>
      <c r="CP576" s="26"/>
      <c r="CQ576" s="26"/>
      <c r="CR576" s="26"/>
      <c r="CS576" s="26"/>
      <c r="CT576" s="26"/>
      <c r="CU576" s="26"/>
      <c r="CV576" s="26"/>
      <c r="CW576" s="26"/>
      <c r="CX576" s="26"/>
      <c r="CY576" s="26"/>
      <c r="CZ576" s="26"/>
      <c r="DA576" s="26"/>
      <c r="DB576" s="26"/>
      <c r="DC576" s="26"/>
      <c r="DD576" s="26"/>
    </row>
    <row r="577" spans="59:108" x14ac:dyDescent="0.2">
      <c r="BG577" s="26"/>
      <c r="BH577" s="26"/>
      <c r="BI577" s="26"/>
      <c r="BJ577" s="26"/>
      <c r="BK577" s="26"/>
      <c r="BL577" s="26"/>
      <c r="BM577" s="26"/>
      <c r="BN577" s="26"/>
      <c r="BO577" s="26"/>
      <c r="BP577" s="26"/>
      <c r="BQ577" s="26"/>
      <c r="BR577" s="26"/>
      <c r="BS577" s="26"/>
      <c r="BT577" s="26"/>
      <c r="BU577" s="26"/>
      <c r="BV577" s="26"/>
      <c r="BW577" s="26"/>
      <c r="BX577" s="26"/>
      <c r="BY577" s="26"/>
      <c r="BZ577" s="26"/>
      <c r="CA577" s="26"/>
      <c r="CB577" s="26"/>
      <c r="CC577" s="26"/>
      <c r="CD577" s="26"/>
      <c r="CE577" s="26"/>
      <c r="CF577" s="26"/>
      <c r="CG577" s="26"/>
      <c r="CH577" s="26"/>
      <c r="CI577" s="26"/>
      <c r="CJ577" s="26"/>
      <c r="CK577" s="26"/>
      <c r="CL577" s="26"/>
      <c r="CM577" s="26"/>
      <c r="CN577" s="26"/>
      <c r="CO577" s="26"/>
      <c r="CP577" s="26"/>
      <c r="CQ577" s="26"/>
      <c r="CR577" s="26"/>
      <c r="CS577" s="26"/>
      <c r="CT577" s="26"/>
      <c r="CU577" s="26"/>
      <c r="CV577" s="26"/>
      <c r="CW577" s="26"/>
      <c r="CX577" s="26"/>
      <c r="CY577" s="26"/>
      <c r="CZ577" s="26"/>
      <c r="DA577" s="26"/>
      <c r="DB577" s="26"/>
      <c r="DC577" s="26"/>
      <c r="DD577" s="26"/>
    </row>
    <row r="578" spans="59:108" x14ac:dyDescent="0.2">
      <c r="BG578" s="26"/>
      <c r="BH578" s="26"/>
      <c r="BI578" s="26"/>
      <c r="BJ578" s="26"/>
      <c r="BK578" s="26"/>
      <c r="BL578" s="26"/>
      <c r="BM578" s="26"/>
      <c r="BN578" s="26"/>
      <c r="BO578" s="26"/>
      <c r="BP578" s="26"/>
      <c r="BQ578" s="26"/>
      <c r="BR578" s="26"/>
      <c r="BS578" s="26"/>
      <c r="BT578" s="26"/>
      <c r="BU578" s="26"/>
      <c r="BV578" s="26"/>
      <c r="BW578" s="26"/>
      <c r="BX578" s="26"/>
      <c r="BY578" s="26"/>
      <c r="BZ578" s="26"/>
      <c r="CA578" s="26"/>
      <c r="CB578" s="26"/>
      <c r="CC578" s="26"/>
      <c r="CD578" s="26"/>
      <c r="CE578" s="26"/>
      <c r="CF578" s="26"/>
      <c r="CG578" s="26"/>
      <c r="CH578" s="26"/>
      <c r="CI578" s="26"/>
      <c r="CJ578" s="26"/>
      <c r="CK578" s="26"/>
      <c r="CL578" s="26"/>
      <c r="CM578" s="26"/>
      <c r="CN578" s="26"/>
      <c r="CO578" s="26"/>
      <c r="CP578" s="26"/>
      <c r="CQ578" s="26"/>
      <c r="CR578" s="26"/>
      <c r="CS578" s="26"/>
      <c r="CT578" s="26"/>
      <c r="CU578" s="26"/>
      <c r="CV578" s="26"/>
      <c r="CW578" s="26"/>
      <c r="CX578" s="26"/>
      <c r="CY578" s="26"/>
      <c r="CZ578" s="26"/>
      <c r="DA578" s="26"/>
      <c r="DB578" s="26"/>
      <c r="DC578" s="26"/>
      <c r="DD578" s="26"/>
    </row>
    <row r="579" spans="59:108" x14ac:dyDescent="0.2">
      <c r="BG579" s="26"/>
      <c r="BH579" s="26"/>
      <c r="BI579" s="26"/>
      <c r="BJ579" s="26"/>
      <c r="BK579" s="26"/>
      <c r="BL579" s="26"/>
      <c r="BM579" s="26"/>
      <c r="BN579" s="26"/>
      <c r="BO579" s="26"/>
      <c r="BP579" s="26"/>
      <c r="BQ579" s="26"/>
      <c r="BR579" s="26"/>
      <c r="BS579" s="26"/>
      <c r="BT579" s="26"/>
      <c r="BU579" s="26"/>
      <c r="BV579" s="26"/>
      <c r="BW579" s="26"/>
      <c r="BX579" s="26"/>
      <c r="BY579" s="26"/>
      <c r="BZ579" s="26"/>
      <c r="CA579" s="26"/>
      <c r="CB579" s="26"/>
      <c r="CC579" s="26"/>
      <c r="CD579" s="26"/>
      <c r="CE579" s="26"/>
      <c r="CF579" s="26"/>
      <c r="CG579" s="26"/>
      <c r="CH579" s="26"/>
      <c r="CI579" s="26"/>
      <c r="CJ579" s="26"/>
      <c r="CK579" s="26"/>
      <c r="CL579" s="26"/>
      <c r="CM579" s="26"/>
      <c r="CN579" s="26"/>
      <c r="CO579" s="26"/>
      <c r="CP579" s="26"/>
      <c r="CQ579" s="26"/>
      <c r="CR579" s="26"/>
      <c r="CS579" s="26"/>
      <c r="CT579" s="26"/>
      <c r="CU579" s="26"/>
      <c r="CV579" s="26"/>
      <c r="CW579" s="26"/>
      <c r="CX579" s="26"/>
      <c r="CY579" s="26"/>
      <c r="CZ579" s="26"/>
      <c r="DA579" s="26"/>
      <c r="DB579" s="26"/>
      <c r="DC579" s="26"/>
      <c r="DD579" s="26"/>
    </row>
    <row r="580" spans="59:108" x14ac:dyDescent="0.2">
      <c r="BG580" s="26"/>
      <c r="BH580" s="26"/>
      <c r="BI580" s="26"/>
      <c r="BJ580" s="26"/>
      <c r="BK580" s="26"/>
      <c r="BL580" s="26"/>
      <c r="BM580" s="26"/>
      <c r="BN580" s="26"/>
      <c r="BO580" s="26"/>
      <c r="BP580" s="26"/>
      <c r="BQ580" s="26"/>
      <c r="BR580" s="26"/>
      <c r="BS580" s="26"/>
      <c r="BT580" s="26"/>
      <c r="BU580" s="26"/>
      <c r="BV580" s="26"/>
      <c r="BW580" s="26"/>
      <c r="BX580" s="26"/>
      <c r="BY580" s="26"/>
      <c r="BZ580" s="26"/>
      <c r="CA580" s="26"/>
      <c r="CB580" s="26"/>
      <c r="CC580" s="26"/>
      <c r="CD580" s="26"/>
      <c r="CE580" s="26"/>
      <c r="CF580" s="26"/>
      <c r="CG580" s="26"/>
      <c r="CH580" s="26"/>
      <c r="CI580" s="26"/>
      <c r="CJ580" s="26"/>
      <c r="CK580" s="26"/>
      <c r="CL580" s="26"/>
      <c r="CM580" s="26"/>
      <c r="CN580" s="26"/>
      <c r="CO580" s="26"/>
      <c r="CP580" s="26"/>
      <c r="CQ580" s="26"/>
      <c r="CR580" s="26"/>
      <c r="CS580" s="26"/>
      <c r="CT580" s="26"/>
      <c r="CU580" s="26"/>
      <c r="CV580" s="26"/>
      <c r="CW580" s="26"/>
      <c r="CX580" s="26"/>
      <c r="CY580" s="26"/>
      <c r="CZ580" s="26"/>
      <c r="DA580" s="26"/>
      <c r="DB580" s="26"/>
      <c r="DC580" s="26"/>
      <c r="DD580" s="26"/>
    </row>
    <row r="581" spans="59:108" x14ac:dyDescent="0.2">
      <c r="BG581" s="26"/>
      <c r="BH581" s="26"/>
      <c r="BI581" s="26"/>
      <c r="BJ581" s="26"/>
      <c r="BK581" s="26"/>
      <c r="BL581" s="26"/>
      <c r="BM581" s="26"/>
      <c r="BN581" s="26"/>
      <c r="BO581" s="26"/>
      <c r="BP581" s="26"/>
      <c r="BQ581" s="26"/>
      <c r="BR581" s="26"/>
      <c r="BS581" s="26"/>
      <c r="BT581" s="26"/>
      <c r="BU581" s="26"/>
      <c r="BV581" s="26"/>
      <c r="BW581" s="26"/>
      <c r="BX581" s="26"/>
      <c r="BY581" s="26"/>
      <c r="BZ581" s="26"/>
      <c r="CA581" s="26"/>
      <c r="CB581" s="26"/>
      <c r="CC581" s="26"/>
      <c r="CD581" s="26"/>
      <c r="CE581" s="26"/>
      <c r="CF581" s="26"/>
      <c r="CG581" s="26"/>
      <c r="CH581" s="26"/>
      <c r="CI581" s="26"/>
      <c r="CJ581" s="26"/>
      <c r="CK581" s="26"/>
      <c r="CL581" s="26"/>
      <c r="CM581" s="26"/>
      <c r="CN581" s="26"/>
      <c r="CO581" s="26"/>
      <c r="CP581" s="26"/>
      <c r="CQ581" s="26"/>
      <c r="CR581" s="26"/>
      <c r="CS581" s="26"/>
      <c r="CT581" s="26"/>
      <c r="CU581" s="26"/>
      <c r="CV581" s="26"/>
      <c r="CW581" s="26"/>
      <c r="CX581" s="26"/>
      <c r="CY581" s="26"/>
      <c r="CZ581" s="26"/>
      <c r="DA581" s="26"/>
      <c r="DB581" s="26"/>
      <c r="DC581" s="26"/>
      <c r="DD581" s="26"/>
    </row>
    <row r="582" spans="59:108" x14ac:dyDescent="0.2">
      <c r="BG582" s="26"/>
      <c r="BH582" s="26"/>
      <c r="BI582" s="26"/>
      <c r="BJ582" s="26"/>
      <c r="BK582" s="26"/>
      <c r="BL582" s="26"/>
      <c r="BM582" s="26"/>
      <c r="BN582" s="26"/>
      <c r="BO582" s="26"/>
      <c r="BP582" s="26"/>
      <c r="BQ582" s="26"/>
      <c r="BR582" s="26"/>
      <c r="BS582" s="26"/>
      <c r="BT582" s="26"/>
      <c r="BU582" s="26"/>
      <c r="BV582" s="26"/>
      <c r="BW582" s="26"/>
      <c r="BX582" s="26"/>
      <c r="BY582" s="26"/>
      <c r="BZ582" s="26"/>
      <c r="CA582" s="26"/>
      <c r="CB582" s="26"/>
      <c r="CC582" s="26"/>
      <c r="CD582" s="26"/>
      <c r="CE582" s="26"/>
      <c r="CF582" s="26"/>
      <c r="CG582" s="26"/>
      <c r="CH582" s="26"/>
      <c r="CI582" s="26"/>
      <c r="CJ582" s="26"/>
      <c r="CK582" s="26"/>
      <c r="CL582" s="26"/>
      <c r="CM582" s="26"/>
      <c r="CN582" s="26"/>
      <c r="CO582" s="26"/>
      <c r="CP582" s="26"/>
      <c r="CQ582" s="26"/>
      <c r="CR582" s="26"/>
      <c r="CS582" s="26"/>
      <c r="CT582" s="26"/>
      <c r="CU582" s="26"/>
      <c r="CV582" s="26"/>
      <c r="CW582" s="26"/>
      <c r="CX582" s="26"/>
      <c r="CY582" s="26"/>
      <c r="CZ582" s="26"/>
      <c r="DA582" s="26"/>
      <c r="DB582" s="26"/>
      <c r="DC582" s="26"/>
      <c r="DD582" s="26"/>
    </row>
    <row r="583" spans="59:108" x14ac:dyDescent="0.2">
      <c r="BG583" s="26"/>
      <c r="BH583" s="26"/>
      <c r="BI583" s="26"/>
      <c r="BJ583" s="26"/>
      <c r="BK583" s="26"/>
      <c r="BL583" s="26"/>
      <c r="BM583" s="26"/>
      <c r="BN583" s="26"/>
      <c r="BO583" s="26"/>
      <c r="BP583" s="26"/>
      <c r="BQ583" s="26"/>
      <c r="BR583" s="26"/>
      <c r="BS583" s="26"/>
      <c r="BT583" s="26"/>
      <c r="BU583" s="26"/>
      <c r="BV583" s="26"/>
      <c r="BW583" s="26"/>
      <c r="BX583" s="26"/>
      <c r="BY583" s="26"/>
      <c r="BZ583" s="26"/>
      <c r="CA583" s="26"/>
      <c r="CB583" s="26"/>
      <c r="CC583" s="26"/>
      <c r="CD583" s="26"/>
      <c r="CE583" s="26"/>
      <c r="CF583" s="26"/>
      <c r="CG583" s="26"/>
      <c r="CH583" s="26"/>
      <c r="CI583" s="26"/>
      <c r="CJ583" s="26"/>
      <c r="CK583" s="26"/>
      <c r="CL583" s="26"/>
      <c r="CM583" s="26"/>
      <c r="CN583" s="26"/>
      <c r="CO583" s="26"/>
      <c r="CP583" s="26"/>
      <c r="CQ583" s="26"/>
      <c r="CR583" s="26"/>
      <c r="CS583" s="26"/>
      <c r="CT583" s="26"/>
      <c r="CU583" s="26"/>
      <c r="CV583" s="26"/>
      <c r="CW583" s="26"/>
      <c r="CX583" s="26"/>
      <c r="CY583" s="26"/>
      <c r="CZ583" s="26"/>
      <c r="DA583" s="26"/>
      <c r="DB583" s="26"/>
      <c r="DC583" s="26"/>
      <c r="DD583" s="26"/>
    </row>
    <row r="584" spans="59:108" x14ac:dyDescent="0.2">
      <c r="BG584" s="26"/>
      <c r="BH584" s="26"/>
      <c r="BI584" s="26"/>
      <c r="BJ584" s="26"/>
      <c r="BK584" s="26"/>
      <c r="BL584" s="26"/>
      <c r="BM584" s="26"/>
      <c r="BN584" s="26"/>
      <c r="BO584" s="26"/>
      <c r="BP584" s="26"/>
      <c r="BQ584" s="26"/>
      <c r="BR584" s="26"/>
      <c r="BS584" s="26"/>
      <c r="BT584" s="26"/>
      <c r="BU584" s="26"/>
      <c r="BV584" s="26"/>
      <c r="BW584" s="26"/>
      <c r="BX584" s="26"/>
      <c r="BY584" s="26"/>
      <c r="BZ584" s="26"/>
      <c r="CA584" s="26"/>
      <c r="CB584" s="26"/>
      <c r="CC584" s="26"/>
      <c r="CD584" s="26"/>
      <c r="CE584" s="26"/>
      <c r="CF584" s="26"/>
      <c r="CG584" s="26"/>
      <c r="CH584" s="26"/>
      <c r="CI584" s="26"/>
      <c r="CJ584" s="26"/>
      <c r="CK584" s="26"/>
      <c r="CL584" s="26"/>
      <c r="CM584" s="26"/>
      <c r="CN584" s="26"/>
      <c r="CO584" s="26"/>
      <c r="CP584" s="26"/>
      <c r="CQ584" s="26"/>
      <c r="CR584" s="26"/>
      <c r="CS584" s="26"/>
      <c r="CT584" s="26"/>
      <c r="CU584" s="26"/>
      <c r="CV584" s="26"/>
      <c r="CW584" s="26"/>
      <c r="CX584" s="26"/>
      <c r="CY584" s="26"/>
      <c r="CZ584" s="26"/>
      <c r="DA584" s="26"/>
      <c r="DB584" s="26"/>
      <c r="DC584" s="26"/>
      <c r="DD584" s="26"/>
    </row>
    <row r="585" spans="59:108" x14ac:dyDescent="0.2">
      <c r="BG585" s="26"/>
      <c r="BH585" s="26"/>
      <c r="BI585" s="26"/>
      <c r="BJ585" s="26"/>
      <c r="BK585" s="26"/>
      <c r="BL585" s="26"/>
      <c r="BM585" s="26"/>
      <c r="BN585" s="26"/>
      <c r="BO585" s="26"/>
      <c r="BP585" s="26"/>
      <c r="BQ585" s="26"/>
      <c r="BR585" s="26"/>
      <c r="BS585" s="26"/>
      <c r="BT585" s="26"/>
      <c r="BU585" s="26"/>
      <c r="BV585" s="26"/>
      <c r="BW585" s="26"/>
      <c r="BX585" s="26"/>
      <c r="BY585" s="26"/>
      <c r="BZ585" s="26"/>
      <c r="CA585" s="26"/>
      <c r="CB585" s="26"/>
      <c r="CC585" s="26"/>
      <c r="CD585" s="26"/>
      <c r="CE585" s="26"/>
      <c r="CF585" s="26"/>
      <c r="CG585" s="26"/>
      <c r="CH585" s="26"/>
      <c r="CI585" s="26"/>
      <c r="CJ585" s="26"/>
      <c r="CK585" s="26"/>
      <c r="CL585" s="26"/>
      <c r="CM585" s="26"/>
      <c r="CN585" s="26"/>
      <c r="CO585" s="26"/>
      <c r="CP585" s="26"/>
      <c r="CQ585" s="26"/>
      <c r="CR585" s="26"/>
      <c r="CS585" s="26"/>
      <c r="CT585" s="26"/>
      <c r="CU585" s="26"/>
      <c r="CV585" s="26"/>
      <c r="CW585" s="26"/>
      <c r="CX585" s="26"/>
      <c r="CY585" s="26"/>
      <c r="CZ585" s="26"/>
      <c r="DA585" s="26"/>
      <c r="DB585" s="26"/>
      <c r="DC585" s="26"/>
      <c r="DD585" s="26"/>
    </row>
    <row r="586" spans="59:108" x14ac:dyDescent="0.2">
      <c r="BG586" s="26"/>
      <c r="BH586" s="26"/>
      <c r="BI586" s="26"/>
      <c r="BJ586" s="26"/>
      <c r="BK586" s="26"/>
      <c r="BL586" s="26"/>
      <c r="BM586" s="26"/>
      <c r="BN586" s="26"/>
      <c r="BO586" s="26"/>
      <c r="BP586" s="26"/>
      <c r="BQ586" s="26"/>
      <c r="BR586" s="26"/>
      <c r="BS586" s="26"/>
      <c r="BT586" s="26"/>
      <c r="BU586" s="26"/>
      <c r="BV586" s="26"/>
      <c r="BW586" s="26"/>
      <c r="BX586" s="26"/>
      <c r="BY586" s="26"/>
      <c r="BZ586" s="26"/>
      <c r="CA586" s="26"/>
      <c r="CB586" s="26"/>
      <c r="CC586" s="26"/>
      <c r="CD586" s="26"/>
      <c r="CE586" s="26"/>
      <c r="CF586" s="26"/>
      <c r="CG586" s="26"/>
      <c r="CH586" s="26"/>
      <c r="CI586" s="26"/>
      <c r="CJ586" s="26"/>
      <c r="CK586" s="26"/>
      <c r="CL586" s="26"/>
      <c r="CM586" s="26"/>
      <c r="CN586" s="26"/>
      <c r="CO586" s="26"/>
      <c r="CP586" s="26"/>
      <c r="CQ586" s="26"/>
      <c r="CR586" s="26"/>
      <c r="CS586" s="26"/>
      <c r="CT586" s="26"/>
      <c r="CU586" s="26"/>
      <c r="CV586" s="26"/>
      <c r="CW586" s="26"/>
      <c r="CX586" s="26"/>
      <c r="CY586" s="26"/>
      <c r="CZ586" s="26"/>
      <c r="DA586" s="26"/>
      <c r="DB586" s="26"/>
      <c r="DC586" s="26"/>
      <c r="DD586" s="26"/>
    </row>
    <row r="587" spans="59:108" x14ac:dyDescent="0.2">
      <c r="BG587" s="26"/>
      <c r="BH587" s="26"/>
      <c r="BI587" s="26"/>
      <c r="BJ587" s="26"/>
      <c r="BK587" s="26"/>
      <c r="BL587" s="26"/>
      <c r="BM587" s="26"/>
      <c r="BN587" s="26"/>
      <c r="BO587" s="26"/>
      <c r="BP587" s="26"/>
      <c r="BQ587" s="26"/>
      <c r="BR587" s="26"/>
      <c r="BS587" s="26"/>
      <c r="BT587" s="26"/>
      <c r="BU587" s="26"/>
      <c r="BV587" s="26"/>
      <c r="BW587" s="26"/>
      <c r="BX587" s="26"/>
      <c r="BY587" s="26"/>
      <c r="BZ587" s="26"/>
      <c r="CA587" s="26"/>
      <c r="CB587" s="26"/>
      <c r="CC587" s="26"/>
      <c r="CD587" s="26"/>
      <c r="CE587" s="26"/>
      <c r="CF587" s="26"/>
      <c r="CG587" s="26"/>
      <c r="CH587" s="26"/>
      <c r="CI587" s="26"/>
      <c r="CJ587" s="26"/>
      <c r="CK587" s="26"/>
      <c r="CL587" s="26"/>
      <c r="CM587" s="26"/>
      <c r="CN587" s="26"/>
      <c r="CO587" s="26"/>
      <c r="CP587" s="26"/>
      <c r="CQ587" s="26"/>
      <c r="CR587" s="26"/>
      <c r="CS587" s="26"/>
      <c r="CT587" s="26"/>
      <c r="CU587" s="26"/>
      <c r="CV587" s="26"/>
      <c r="CW587" s="26"/>
      <c r="CX587" s="26"/>
      <c r="CY587" s="26"/>
      <c r="CZ587" s="26"/>
      <c r="DA587" s="26"/>
      <c r="DB587" s="26"/>
      <c r="DC587" s="26"/>
      <c r="DD587" s="26"/>
    </row>
    <row r="588" spans="59:108" x14ac:dyDescent="0.2">
      <c r="BG588" s="26"/>
      <c r="BH588" s="26"/>
      <c r="BI588" s="26"/>
      <c r="BJ588" s="26"/>
      <c r="BK588" s="26"/>
      <c r="BL588" s="26"/>
      <c r="BM588" s="26"/>
      <c r="BN588" s="26"/>
      <c r="BO588" s="26"/>
      <c r="BP588" s="26"/>
      <c r="BQ588" s="26"/>
      <c r="BR588" s="26"/>
      <c r="BS588" s="26"/>
      <c r="BT588" s="26"/>
      <c r="BU588" s="26"/>
      <c r="BV588" s="26"/>
      <c r="BW588" s="26"/>
      <c r="BX588" s="26"/>
      <c r="BY588" s="26"/>
      <c r="BZ588" s="26"/>
      <c r="CA588" s="26"/>
      <c r="CB588" s="26"/>
      <c r="CC588" s="26"/>
      <c r="CD588" s="26"/>
      <c r="CE588" s="26"/>
      <c r="CF588" s="26"/>
      <c r="CG588" s="26"/>
      <c r="CH588" s="26"/>
      <c r="CI588" s="26"/>
      <c r="CJ588" s="26"/>
      <c r="CK588" s="26"/>
      <c r="CL588" s="26"/>
      <c r="CM588" s="26"/>
      <c r="CN588" s="26"/>
      <c r="CO588" s="26"/>
      <c r="CP588" s="26"/>
      <c r="CQ588" s="26"/>
      <c r="CR588" s="26"/>
      <c r="CS588" s="26"/>
      <c r="CT588" s="26"/>
      <c r="CU588" s="26"/>
      <c r="CV588" s="26"/>
      <c r="CW588" s="26"/>
      <c r="CX588" s="26"/>
      <c r="CY588" s="26"/>
      <c r="CZ588" s="26"/>
      <c r="DA588" s="26"/>
      <c r="DB588" s="26"/>
      <c r="DC588" s="26"/>
      <c r="DD588" s="26"/>
    </row>
    <row r="589" spans="59:108" x14ac:dyDescent="0.2">
      <c r="BG589" s="26"/>
      <c r="BH589" s="26"/>
      <c r="BI589" s="26"/>
      <c r="BJ589" s="26"/>
      <c r="BK589" s="26"/>
      <c r="BL589" s="26"/>
      <c r="BM589" s="26"/>
      <c r="BN589" s="26"/>
      <c r="BO589" s="26"/>
      <c r="BP589" s="26"/>
      <c r="BQ589" s="26"/>
      <c r="BR589" s="26"/>
      <c r="BS589" s="26"/>
      <c r="BT589" s="26"/>
      <c r="BU589" s="26"/>
      <c r="BV589" s="26"/>
      <c r="BW589" s="26"/>
      <c r="BX589" s="26"/>
      <c r="BY589" s="26"/>
      <c r="BZ589" s="26"/>
      <c r="CA589" s="26"/>
      <c r="CB589" s="26"/>
      <c r="CC589" s="26"/>
      <c r="CD589" s="26"/>
      <c r="CE589" s="26"/>
      <c r="CF589" s="26"/>
      <c r="CG589" s="26"/>
      <c r="CH589" s="26"/>
      <c r="CI589" s="26"/>
      <c r="CJ589" s="26"/>
      <c r="CK589" s="26"/>
      <c r="CL589" s="26"/>
      <c r="CM589" s="26"/>
      <c r="CN589" s="26"/>
      <c r="CO589" s="26"/>
      <c r="CP589" s="26"/>
      <c r="CQ589" s="26"/>
      <c r="CR589" s="26"/>
      <c r="CS589" s="26"/>
      <c r="CT589" s="26"/>
      <c r="CU589" s="26"/>
      <c r="CV589" s="26"/>
      <c r="CW589" s="26"/>
      <c r="CX589" s="26"/>
      <c r="CY589" s="26"/>
      <c r="CZ589" s="26"/>
      <c r="DA589" s="26"/>
      <c r="DB589" s="26"/>
      <c r="DC589" s="26"/>
      <c r="DD589" s="26"/>
    </row>
    <row r="590" spans="59:108" x14ac:dyDescent="0.2">
      <c r="BG590" s="26"/>
      <c r="BH590" s="26"/>
      <c r="BI590" s="26"/>
      <c r="BJ590" s="26"/>
      <c r="BK590" s="26"/>
      <c r="BL590" s="26"/>
      <c r="BM590" s="26"/>
      <c r="BN590" s="26"/>
      <c r="BO590" s="26"/>
      <c r="BP590" s="26"/>
      <c r="BQ590" s="26"/>
      <c r="BR590" s="26"/>
      <c r="BS590" s="26"/>
      <c r="BT590" s="26"/>
      <c r="BU590" s="26"/>
      <c r="BV590" s="26"/>
      <c r="BW590" s="26"/>
      <c r="BX590" s="26"/>
      <c r="BY590" s="26"/>
      <c r="BZ590" s="26"/>
      <c r="CA590" s="26"/>
      <c r="CB590" s="26"/>
      <c r="CC590" s="26"/>
      <c r="CD590" s="26"/>
      <c r="CE590" s="26"/>
      <c r="CF590" s="26"/>
      <c r="CG590" s="26"/>
      <c r="CH590" s="26"/>
      <c r="CI590" s="26"/>
      <c r="CJ590" s="26"/>
      <c r="CK590" s="26"/>
      <c r="CL590" s="26"/>
      <c r="CM590" s="26"/>
      <c r="CN590" s="26"/>
      <c r="CO590" s="26"/>
      <c r="CP590" s="26"/>
      <c r="CQ590" s="26"/>
      <c r="CR590" s="26"/>
      <c r="CS590" s="26"/>
      <c r="CT590" s="26"/>
      <c r="CU590" s="26"/>
      <c r="CV590" s="26"/>
      <c r="CW590" s="26"/>
      <c r="CX590" s="26"/>
      <c r="CY590" s="26"/>
      <c r="CZ590" s="26"/>
      <c r="DA590" s="26"/>
      <c r="DB590" s="26"/>
      <c r="DC590" s="26"/>
      <c r="DD590" s="26"/>
    </row>
    <row r="591" spans="59:108" x14ac:dyDescent="0.2">
      <c r="BG591" s="26"/>
      <c r="BH591" s="26"/>
      <c r="BI591" s="26"/>
      <c r="BJ591" s="26"/>
      <c r="BK591" s="26"/>
      <c r="BL591" s="26"/>
      <c r="BM591" s="26"/>
      <c r="BN591" s="26"/>
      <c r="BO591" s="26"/>
      <c r="BP591" s="26"/>
      <c r="BQ591" s="26"/>
      <c r="BR591" s="26"/>
      <c r="BS591" s="26"/>
      <c r="BT591" s="26"/>
      <c r="BU591" s="26"/>
      <c r="BV591" s="26"/>
      <c r="BW591" s="26"/>
      <c r="BX591" s="26"/>
      <c r="BY591" s="26"/>
      <c r="BZ591" s="26"/>
      <c r="CA591" s="26"/>
      <c r="CB591" s="26"/>
      <c r="CC591" s="26"/>
      <c r="CD591" s="26"/>
      <c r="CE591" s="26"/>
      <c r="CF591" s="26"/>
      <c r="CG591" s="26"/>
      <c r="CH591" s="26"/>
      <c r="CI591" s="26"/>
      <c r="CJ591" s="26"/>
      <c r="CK591" s="26"/>
      <c r="CL591" s="26"/>
      <c r="CM591" s="26"/>
      <c r="CN591" s="26"/>
      <c r="CO591" s="26"/>
      <c r="CP591" s="26"/>
      <c r="CQ591" s="26"/>
      <c r="CR591" s="26"/>
      <c r="CS591" s="26"/>
      <c r="CT591" s="26"/>
      <c r="CU591" s="26"/>
      <c r="CV591" s="26"/>
      <c r="CW591" s="26"/>
      <c r="CX591" s="26"/>
      <c r="CY591" s="26"/>
      <c r="CZ591" s="26"/>
      <c r="DA591" s="26"/>
      <c r="DB591" s="26"/>
      <c r="DC591" s="26"/>
      <c r="DD591" s="26"/>
    </row>
    <row r="592" spans="59:108" x14ac:dyDescent="0.2">
      <c r="BG592" s="26"/>
      <c r="BH592" s="26"/>
      <c r="BI592" s="26"/>
      <c r="BJ592" s="26"/>
      <c r="BK592" s="26"/>
      <c r="BL592" s="26"/>
      <c r="BM592" s="26"/>
      <c r="BN592" s="26"/>
      <c r="BO592" s="26"/>
      <c r="BP592" s="26"/>
      <c r="BQ592" s="26"/>
      <c r="BR592" s="26"/>
      <c r="BS592" s="26"/>
      <c r="BT592" s="26"/>
      <c r="BU592" s="26"/>
      <c r="BV592" s="26"/>
      <c r="BW592" s="26"/>
      <c r="BX592" s="26"/>
      <c r="BY592" s="26"/>
      <c r="BZ592" s="26"/>
      <c r="CA592" s="26"/>
      <c r="CB592" s="26"/>
      <c r="CC592" s="26"/>
      <c r="CD592" s="26"/>
      <c r="CE592" s="26"/>
      <c r="CF592" s="26"/>
      <c r="CG592" s="26"/>
      <c r="CH592" s="26"/>
      <c r="CI592" s="26"/>
      <c r="CJ592" s="26"/>
      <c r="CK592" s="26"/>
      <c r="CL592" s="26"/>
      <c r="CM592" s="26"/>
      <c r="CN592" s="26"/>
      <c r="CO592" s="26"/>
      <c r="CP592" s="26"/>
      <c r="CQ592" s="26"/>
      <c r="CR592" s="26"/>
      <c r="CS592" s="26"/>
      <c r="CT592" s="26"/>
      <c r="CU592" s="26"/>
      <c r="CV592" s="26"/>
      <c r="CW592" s="26"/>
      <c r="CX592" s="26"/>
      <c r="CY592" s="26"/>
      <c r="CZ592" s="26"/>
      <c r="DA592" s="26"/>
      <c r="DB592" s="26"/>
      <c r="DC592" s="26"/>
      <c r="DD592" s="26"/>
    </row>
    <row r="593" spans="59:108" x14ac:dyDescent="0.2">
      <c r="BG593" s="26"/>
      <c r="BH593" s="26"/>
      <c r="BI593" s="26"/>
      <c r="BJ593" s="26"/>
      <c r="BK593" s="26"/>
      <c r="BL593" s="26"/>
      <c r="BM593" s="26"/>
      <c r="BN593" s="26"/>
      <c r="BO593" s="26"/>
      <c r="BP593" s="26"/>
      <c r="BQ593" s="26"/>
      <c r="BR593" s="26"/>
      <c r="BS593" s="26"/>
      <c r="BT593" s="26"/>
      <c r="BU593" s="26"/>
      <c r="BV593" s="26"/>
      <c r="BW593" s="26"/>
      <c r="BX593" s="26"/>
      <c r="BY593" s="26"/>
      <c r="BZ593" s="26"/>
      <c r="CA593" s="26"/>
      <c r="CB593" s="26"/>
      <c r="CC593" s="26"/>
      <c r="CD593" s="26"/>
      <c r="CE593" s="26"/>
      <c r="CF593" s="26"/>
      <c r="CG593" s="26"/>
      <c r="CH593" s="26"/>
      <c r="CI593" s="26"/>
      <c r="CJ593" s="26"/>
      <c r="CK593" s="26"/>
      <c r="CL593" s="26"/>
      <c r="CM593" s="26"/>
      <c r="CN593" s="26"/>
      <c r="CO593" s="26"/>
      <c r="CP593" s="26"/>
      <c r="CQ593" s="26"/>
      <c r="CR593" s="26"/>
      <c r="CS593" s="26"/>
      <c r="CT593" s="26"/>
      <c r="CU593" s="26"/>
      <c r="CV593" s="26"/>
      <c r="CW593" s="26"/>
      <c r="CX593" s="26"/>
      <c r="CY593" s="26"/>
      <c r="CZ593" s="26"/>
      <c r="DA593" s="26"/>
      <c r="DB593" s="26"/>
      <c r="DC593" s="26"/>
      <c r="DD593" s="26"/>
    </row>
    <row r="594" spans="59:108" x14ac:dyDescent="0.2">
      <c r="BG594" s="26"/>
      <c r="BH594" s="26"/>
      <c r="BI594" s="26"/>
      <c r="BJ594" s="26"/>
      <c r="BK594" s="26"/>
      <c r="BL594" s="26"/>
      <c r="BM594" s="26"/>
      <c r="BN594" s="26"/>
      <c r="BO594" s="26"/>
      <c r="BP594" s="26"/>
      <c r="BQ594" s="26"/>
      <c r="BR594" s="26"/>
      <c r="BS594" s="26"/>
      <c r="BT594" s="26"/>
      <c r="BU594" s="26"/>
      <c r="BV594" s="26"/>
      <c r="BW594" s="26"/>
      <c r="BX594" s="26"/>
      <c r="BY594" s="26"/>
      <c r="BZ594" s="26"/>
      <c r="CA594" s="26"/>
      <c r="CB594" s="26"/>
      <c r="CC594" s="26"/>
      <c r="CD594" s="26"/>
      <c r="CE594" s="26"/>
      <c r="CF594" s="26"/>
      <c r="CG594" s="26"/>
      <c r="CH594" s="26"/>
      <c r="CI594" s="26"/>
      <c r="CJ594" s="26"/>
      <c r="CK594" s="26"/>
      <c r="CL594" s="26"/>
      <c r="CM594" s="26"/>
      <c r="CN594" s="26"/>
      <c r="CO594" s="26"/>
      <c r="CP594" s="26"/>
      <c r="CQ594" s="26"/>
      <c r="CR594" s="26"/>
      <c r="CS594" s="26"/>
      <c r="CT594" s="26"/>
      <c r="CU594" s="26"/>
      <c r="CV594" s="26"/>
      <c r="CW594" s="26"/>
      <c r="CX594" s="26"/>
      <c r="CY594" s="26"/>
      <c r="CZ594" s="26"/>
      <c r="DA594" s="26"/>
      <c r="DB594" s="26"/>
      <c r="DC594" s="26"/>
      <c r="DD594" s="26"/>
    </row>
    <row r="595" spans="59:108" x14ac:dyDescent="0.2">
      <c r="BG595" s="26"/>
      <c r="BH595" s="26"/>
      <c r="BI595" s="26"/>
      <c r="BJ595" s="26"/>
      <c r="BK595" s="26"/>
      <c r="BL595" s="26"/>
      <c r="BM595" s="26"/>
      <c r="BN595" s="26"/>
      <c r="BO595" s="26"/>
      <c r="BP595" s="26"/>
      <c r="BQ595" s="26"/>
      <c r="BR595" s="26"/>
      <c r="BS595" s="26"/>
      <c r="BT595" s="26"/>
      <c r="BU595" s="26"/>
      <c r="BV595" s="26"/>
      <c r="BW595" s="26"/>
      <c r="BX595" s="26"/>
      <c r="BY595" s="26"/>
      <c r="BZ595" s="26"/>
      <c r="CA595" s="26"/>
      <c r="CB595" s="26"/>
      <c r="CC595" s="26"/>
      <c r="CD595" s="26"/>
      <c r="CE595" s="26"/>
      <c r="CF595" s="26"/>
      <c r="CG595" s="26"/>
      <c r="CH595" s="26"/>
      <c r="CI595" s="26"/>
      <c r="CJ595" s="26"/>
      <c r="CK595" s="26"/>
      <c r="CL595" s="26"/>
      <c r="CM595" s="26"/>
      <c r="CN595" s="26"/>
      <c r="CO595" s="26"/>
      <c r="CP595" s="26"/>
      <c r="CQ595" s="26"/>
      <c r="CR595" s="26"/>
      <c r="CS595" s="26"/>
      <c r="CT595" s="26"/>
      <c r="CU595" s="26"/>
      <c r="CV595" s="26"/>
      <c r="CW595" s="26"/>
      <c r="CX595" s="26"/>
      <c r="CY595" s="26"/>
      <c r="CZ595" s="26"/>
      <c r="DA595" s="26"/>
      <c r="DB595" s="26"/>
      <c r="DC595" s="26"/>
      <c r="DD595" s="26"/>
    </row>
    <row r="596" spans="59:108" x14ac:dyDescent="0.2">
      <c r="BG596" s="26"/>
      <c r="BH596" s="26"/>
      <c r="BI596" s="26"/>
      <c r="BJ596" s="26"/>
      <c r="BK596" s="26"/>
      <c r="BL596" s="26"/>
      <c r="BM596" s="26"/>
      <c r="BN596" s="26"/>
      <c r="BO596" s="26"/>
      <c r="BP596" s="26"/>
      <c r="BQ596" s="26"/>
      <c r="BR596" s="26"/>
      <c r="BS596" s="26"/>
      <c r="BT596" s="26"/>
      <c r="BU596" s="26"/>
      <c r="BV596" s="26"/>
      <c r="BW596" s="26"/>
      <c r="BX596" s="26"/>
      <c r="BY596" s="26"/>
      <c r="BZ596" s="26"/>
      <c r="CA596" s="26"/>
      <c r="CB596" s="26"/>
      <c r="CC596" s="26"/>
      <c r="CD596" s="26"/>
      <c r="CE596" s="26"/>
      <c r="CF596" s="26"/>
      <c r="CG596" s="26"/>
      <c r="CH596" s="26"/>
      <c r="CI596" s="26"/>
      <c r="CJ596" s="26"/>
      <c r="CK596" s="26"/>
      <c r="CL596" s="26"/>
      <c r="CM596" s="26"/>
      <c r="CN596" s="26"/>
      <c r="CO596" s="26"/>
      <c r="CP596" s="26"/>
      <c r="CQ596" s="26"/>
      <c r="CR596" s="26"/>
      <c r="CS596" s="26"/>
      <c r="CT596" s="26"/>
      <c r="CU596" s="26"/>
      <c r="CV596" s="26"/>
      <c r="CW596" s="26"/>
      <c r="CX596" s="26"/>
      <c r="CY596" s="26"/>
      <c r="CZ596" s="26"/>
      <c r="DA596" s="26"/>
      <c r="DB596" s="26"/>
      <c r="DC596" s="26"/>
      <c r="DD596" s="26"/>
    </row>
    <row r="597" spans="59:108" x14ac:dyDescent="0.2">
      <c r="BG597" s="26"/>
      <c r="BH597" s="26"/>
      <c r="BI597" s="26"/>
      <c r="BJ597" s="26"/>
      <c r="BK597" s="26"/>
      <c r="BL597" s="26"/>
      <c r="BM597" s="26"/>
      <c r="BN597" s="26"/>
      <c r="BO597" s="26"/>
      <c r="BP597" s="26"/>
      <c r="BQ597" s="26"/>
      <c r="BR597" s="26"/>
      <c r="BS597" s="26"/>
      <c r="BT597" s="26"/>
      <c r="BU597" s="26"/>
      <c r="BV597" s="26"/>
      <c r="BW597" s="26"/>
      <c r="BX597" s="26"/>
      <c r="BY597" s="26"/>
      <c r="BZ597" s="26"/>
      <c r="CA597" s="26"/>
      <c r="CB597" s="26"/>
      <c r="CC597" s="26"/>
      <c r="CD597" s="26"/>
      <c r="CE597" s="26"/>
      <c r="CF597" s="26"/>
      <c r="CG597" s="26"/>
      <c r="CH597" s="26"/>
      <c r="CI597" s="26"/>
      <c r="CJ597" s="26"/>
      <c r="CK597" s="26"/>
      <c r="CL597" s="26"/>
      <c r="CM597" s="26"/>
      <c r="CN597" s="26"/>
      <c r="CO597" s="26"/>
      <c r="CP597" s="26"/>
      <c r="CQ597" s="26"/>
      <c r="CR597" s="26"/>
      <c r="CS597" s="26"/>
      <c r="CT597" s="26"/>
      <c r="CU597" s="26"/>
      <c r="CV597" s="26"/>
      <c r="CW597" s="26"/>
      <c r="CX597" s="26"/>
      <c r="CY597" s="26"/>
      <c r="CZ597" s="26"/>
      <c r="DA597" s="26"/>
      <c r="DB597" s="26"/>
      <c r="DC597" s="26"/>
      <c r="DD597" s="26"/>
    </row>
    <row r="598" spans="59:108" x14ac:dyDescent="0.2">
      <c r="BG598" s="26"/>
      <c r="BH598" s="26"/>
      <c r="BI598" s="26"/>
      <c r="BJ598" s="26"/>
      <c r="BK598" s="26"/>
      <c r="BL598" s="26"/>
      <c r="BM598" s="26"/>
      <c r="BN598" s="26"/>
      <c r="BO598" s="26"/>
      <c r="BP598" s="26"/>
      <c r="BQ598" s="26"/>
      <c r="BR598" s="26"/>
      <c r="BS598" s="26"/>
      <c r="BT598" s="26"/>
      <c r="BU598" s="26"/>
      <c r="BV598" s="26"/>
      <c r="BW598" s="26"/>
      <c r="BX598" s="26"/>
      <c r="BY598" s="26"/>
      <c r="BZ598" s="26"/>
      <c r="CA598" s="26"/>
      <c r="CB598" s="26"/>
      <c r="CC598" s="26"/>
      <c r="CD598" s="26"/>
      <c r="CE598" s="26"/>
      <c r="CF598" s="26"/>
      <c r="CG598" s="26"/>
      <c r="CH598" s="26"/>
      <c r="CI598" s="26"/>
      <c r="CJ598" s="26"/>
      <c r="CK598" s="26"/>
      <c r="CL598" s="26"/>
      <c r="CM598" s="26"/>
      <c r="CN598" s="26"/>
      <c r="CO598" s="26"/>
      <c r="CP598" s="26"/>
      <c r="CQ598" s="26"/>
      <c r="CR598" s="26"/>
      <c r="CS598" s="26"/>
      <c r="CT598" s="26"/>
      <c r="CU598" s="26"/>
      <c r="CV598" s="26"/>
      <c r="CW598" s="26"/>
      <c r="CX598" s="26"/>
      <c r="CY598" s="26"/>
      <c r="CZ598" s="26"/>
      <c r="DA598" s="26"/>
      <c r="DB598" s="26"/>
      <c r="DC598" s="26"/>
      <c r="DD598" s="26"/>
    </row>
    <row r="599" spans="59:108" x14ac:dyDescent="0.2">
      <c r="BG599" s="26"/>
      <c r="BH599" s="26"/>
      <c r="BI599" s="26"/>
      <c r="BJ599" s="26"/>
      <c r="BK599" s="26"/>
      <c r="BL599" s="26"/>
      <c r="BM599" s="26"/>
      <c r="BN599" s="26"/>
      <c r="BO599" s="26"/>
      <c r="BP599" s="26"/>
      <c r="BQ599" s="26"/>
      <c r="BR599" s="26"/>
      <c r="BS599" s="26"/>
      <c r="BT599" s="26"/>
      <c r="BU599" s="26"/>
      <c r="BV599" s="26"/>
      <c r="BW599" s="26"/>
      <c r="BX599" s="26"/>
      <c r="BY599" s="26"/>
      <c r="BZ599" s="26"/>
      <c r="CA599" s="26"/>
      <c r="CB599" s="26"/>
      <c r="CC599" s="26"/>
      <c r="CD599" s="26"/>
      <c r="CE599" s="26"/>
      <c r="CF599" s="26"/>
      <c r="CG599" s="26"/>
      <c r="CH599" s="26"/>
      <c r="CI599" s="26"/>
      <c r="CJ599" s="26"/>
      <c r="CK599" s="26"/>
      <c r="CL599" s="26"/>
      <c r="CM599" s="26"/>
      <c r="CN599" s="26"/>
      <c r="CO599" s="26"/>
      <c r="CP599" s="26"/>
      <c r="CQ599" s="26"/>
      <c r="CR599" s="26"/>
      <c r="CS599" s="26"/>
      <c r="CT599" s="26"/>
      <c r="CU599" s="26"/>
      <c r="CV599" s="26"/>
      <c r="CW599" s="26"/>
      <c r="CX599" s="26"/>
      <c r="CY599" s="26"/>
      <c r="CZ599" s="26"/>
      <c r="DA599" s="26"/>
      <c r="DB599" s="26"/>
      <c r="DC599" s="26"/>
      <c r="DD599" s="26"/>
    </row>
    <row r="600" spans="59:108" x14ac:dyDescent="0.2">
      <c r="BG600" s="26"/>
      <c r="BH600" s="26"/>
      <c r="BI600" s="26"/>
      <c r="BJ600" s="26"/>
      <c r="BK600" s="26"/>
      <c r="BL600" s="26"/>
      <c r="BM600" s="26"/>
      <c r="BN600" s="26"/>
      <c r="BO600" s="26"/>
      <c r="BP600" s="26"/>
      <c r="BQ600" s="26"/>
      <c r="BR600" s="26"/>
      <c r="BS600" s="26"/>
      <c r="BT600" s="26"/>
      <c r="BU600" s="26"/>
      <c r="BV600" s="26"/>
      <c r="BW600" s="26"/>
      <c r="BX600" s="26"/>
      <c r="BY600" s="26"/>
      <c r="BZ600" s="26"/>
      <c r="CA600" s="26"/>
      <c r="CB600" s="26"/>
      <c r="CC600" s="26"/>
      <c r="CD600" s="26"/>
      <c r="CE600" s="26"/>
      <c r="CF600" s="26"/>
      <c r="CG600" s="26"/>
      <c r="CH600" s="26"/>
      <c r="CI600" s="26"/>
      <c r="CJ600" s="26"/>
      <c r="CK600" s="26"/>
      <c r="CL600" s="26"/>
      <c r="CM600" s="26"/>
      <c r="CN600" s="26"/>
      <c r="CO600" s="26"/>
      <c r="CP600" s="26"/>
      <c r="CQ600" s="26"/>
      <c r="CR600" s="26"/>
      <c r="CS600" s="26"/>
      <c r="CT600" s="26"/>
      <c r="CU600" s="26"/>
      <c r="CV600" s="26"/>
      <c r="CW600" s="26"/>
      <c r="CX600" s="26"/>
      <c r="CY600" s="26"/>
      <c r="CZ600" s="26"/>
      <c r="DA600" s="26"/>
      <c r="DB600" s="26"/>
      <c r="DC600" s="26"/>
      <c r="DD600" s="26"/>
    </row>
    <row r="601" spans="59:108" x14ac:dyDescent="0.2">
      <c r="BG601" s="26"/>
      <c r="BH601" s="26"/>
      <c r="BI601" s="26"/>
      <c r="BJ601" s="26"/>
      <c r="BK601" s="26"/>
      <c r="BL601" s="26"/>
      <c r="BM601" s="26"/>
      <c r="BN601" s="26"/>
      <c r="BO601" s="26"/>
      <c r="BP601" s="26"/>
      <c r="BQ601" s="26"/>
      <c r="BR601" s="26"/>
      <c r="BS601" s="26"/>
      <c r="BT601" s="26"/>
      <c r="BU601" s="26"/>
      <c r="BV601" s="26"/>
      <c r="BW601" s="26"/>
      <c r="BX601" s="26"/>
      <c r="BY601" s="26"/>
      <c r="BZ601" s="26"/>
      <c r="CA601" s="26"/>
      <c r="CB601" s="26"/>
      <c r="CC601" s="26"/>
      <c r="CD601" s="26"/>
      <c r="CE601" s="26"/>
      <c r="CF601" s="26"/>
      <c r="CG601" s="26"/>
      <c r="CH601" s="26"/>
      <c r="CI601" s="26"/>
      <c r="CJ601" s="26"/>
      <c r="CK601" s="26"/>
      <c r="CL601" s="26"/>
      <c r="CM601" s="26"/>
      <c r="CN601" s="26"/>
      <c r="CO601" s="26"/>
      <c r="CP601" s="26"/>
      <c r="CQ601" s="26"/>
      <c r="CR601" s="26"/>
      <c r="CS601" s="26"/>
      <c r="CT601" s="26"/>
      <c r="CU601" s="26"/>
      <c r="CV601" s="26"/>
      <c r="CW601" s="26"/>
      <c r="CX601" s="26"/>
      <c r="CY601" s="26"/>
      <c r="CZ601" s="26"/>
      <c r="DA601" s="26"/>
      <c r="DB601" s="26"/>
      <c r="DC601" s="26"/>
      <c r="DD601" s="26"/>
    </row>
    <row r="602" spans="59:108" x14ac:dyDescent="0.2">
      <c r="BG602" s="26"/>
      <c r="BH602" s="26"/>
      <c r="BI602" s="26"/>
      <c r="BJ602" s="26"/>
      <c r="BK602" s="26"/>
      <c r="BL602" s="26"/>
      <c r="BM602" s="26"/>
      <c r="BN602" s="26"/>
      <c r="BO602" s="26"/>
      <c r="BP602" s="26"/>
      <c r="BQ602" s="26"/>
      <c r="BR602" s="26"/>
      <c r="BS602" s="26"/>
      <c r="BT602" s="26"/>
      <c r="BU602" s="26"/>
      <c r="BV602" s="26"/>
      <c r="BW602" s="26"/>
      <c r="BX602" s="26"/>
      <c r="BY602" s="26"/>
      <c r="BZ602" s="26"/>
      <c r="CA602" s="26"/>
      <c r="CB602" s="26"/>
      <c r="CC602" s="26"/>
      <c r="CD602" s="26"/>
      <c r="CE602" s="26"/>
      <c r="CF602" s="26"/>
      <c r="CG602" s="26"/>
      <c r="CH602" s="26"/>
      <c r="CI602" s="26"/>
      <c r="CJ602" s="26"/>
      <c r="CK602" s="26"/>
      <c r="CL602" s="26"/>
      <c r="CM602" s="26"/>
      <c r="CN602" s="26"/>
      <c r="CO602" s="26"/>
      <c r="CP602" s="26"/>
      <c r="CQ602" s="26"/>
      <c r="CR602" s="26"/>
      <c r="CS602" s="26"/>
      <c r="CT602" s="26"/>
      <c r="CU602" s="26"/>
      <c r="CV602" s="26"/>
      <c r="CW602" s="26"/>
      <c r="CX602" s="26"/>
      <c r="CY602" s="26"/>
      <c r="CZ602" s="26"/>
      <c r="DA602" s="26"/>
      <c r="DB602" s="26"/>
      <c r="DC602" s="26"/>
      <c r="DD602" s="26"/>
    </row>
  </sheetData>
  <sortState ref="D4:F17">
    <sortCondition ref="D4:D17"/>
  </sortState>
  <mergeCells count="2">
    <mergeCell ref="D1:F1"/>
    <mergeCell ref="E2:F2"/>
  </mergeCells>
  <pageMargins left="0.7" right="0.7" top="0.75" bottom="0.75" header="0.3" footer="0.3"/>
  <drawing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8"/>
  <dimension ref="B1:M506"/>
  <sheetViews>
    <sheetView zoomScaleNormal="100" workbookViewId="0">
      <selection activeCell="E8" sqref="E8"/>
    </sheetView>
  </sheetViews>
  <sheetFormatPr baseColWidth="10" defaultColWidth="8.83203125" defaultRowHeight="15" x14ac:dyDescent="0.2"/>
  <cols>
    <col min="1" max="1" width="2.83203125" customWidth="1"/>
    <col min="2" max="2" width="11.6640625" style="27" customWidth="1"/>
    <col min="3" max="3" width="9.1640625" style="27"/>
    <col min="4" max="4" width="10.1640625" customWidth="1"/>
    <col min="6" max="6" width="11.5" bestFit="1" customWidth="1"/>
    <col min="7" max="7" width="12.83203125" customWidth="1"/>
    <col min="9" max="9" width="10.5" customWidth="1"/>
    <col min="10" max="10" width="8.5" customWidth="1"/>
    <col min="11" max="11" width="12.33203125" bestFit="1" customWidth="1"/>
  </cols>
  <sheetData>
    <row r="1" spans="2:13" x14ac:dyDescent="0.2">
      <c r="B1" s="29" t="s">
        <v>71</v>
      </c>
      <c r="K1" s="52" t="s">
        <v>67</v>
      </c>
      <c r="L1" s="53"/>
      <c r="M1" s="54"/>
    </row>
    <row r="2" spans="2:13" x14ac:dyDescent="0.2">
      <c r="B2" s="42" t="s">
        <v>75</v>
      </c>
      <c r="C2" s="43"/>
      <c r="D2" s="44"/>
      <c r="E2" s="44"/>
      <c r="F2" s="45"/>
      <c r="G2" s="44"/>
      <c r="H2" s="44"/>
      <c r="I2" s="45"/>
      <c r="K2" s="15"/>
      <c r="L2" s="55" t="s">
        <v>66</v>
      </c>
      <c r="M2" s="56"/>
    </row>
    <row r="3" spans="2:13" x14ac:dyDescent="0.2">
      <c r="B3" s="30"/>
      <c r="C3" s="31"/>
      <c r="D3" s="32"/>
      <c r="E3" s="32"/>
      <c r="F3" s="32"/>
      <c r="K3" s="16" t="s">
        <v>65</v>
      </c>
      <c r="L3" s="17" t="s">
        <v>48</v>
      </c>
      <c r="M3" s="18" t="s">
        <v>49</v>
      </c>
    </row>
    <row r="4" spans="2:13" s="32" customFormat="1" x14ac:dyDescent="0.2">
      <c r="B4" s="30"/>
      <c r="C4" s="31"/>
      <c r="K4" s="23" t="s">
        <v>57</v>
      </c>
      <c r="L4" s="19">
        <v>70</v>
      </c>
      <c r="M4" s="20">
        <v>84</v>
      </c>
    </row>
    <row r="5" spans="2:13" s="32" customFormat="1" x14ac:dyDescent="0.2">
      <c r="B5" s="30" t="s">
        <v>72</v>
      </c>
      <c r="C5" s="31"/>
      <c r="K5" s="23" t="s">
        <v>56</v>
      </c>
      <c r="L5" s="19">
        <v>80</v>
      </c>
      <c r="M5" s="20">
        <v>96</v>
      </c>
    </row>
    <row r="6" spans="2:13" ht="30.75" customHeight="1" x14ac:dyDescent="0.2">
      <c r="B6" s="33" t="s">
        <v>65</v>
      </c>
      <c r="C6" s="34" t="s">
        <v>66</v>
      </c>
      <c r="D6" s="35" t="s">
        <v>73</v>
      </c>
      <c r="E6" s="36" t="s">
        <v>74</v>
      </c>
      <c r="F6" s="46" t="s">
        <v>47</v>
      </c>
      <c r="K6" s="23" t="s">
        <v>53</v>
      </c>
      <c r="L6" s="19">
        <v>100</v>
      </c>
      <c r="M6" s="20">
        <v>120</v>
      </c>
    </row>
    <row r="7" spans="2:13" x14ac:dyDescent="0.2">
      <c r="B7" s="37" t="s">
        <v>57</v>
      </c>
      <c r="C7" s="38" t="s">
        <v>49</v>
      </c>
      <c r="D7" s="39" t="e">
        <f>priceLookup(B7,C7)</f>
        <v>#VALUE!</v>
      </c>
      <c r="E7" s="40" t="e">
        <f>SUM(D7:D506)</f>
        <v>#VALUE!</v>
      </c>
      <c r="F7" s="47">
        <v>28944</v>
      </c>
      <c r="K7" s="23" t="s">
        <v>62</v>
      </c>
      <c r="L7" s="19">
        <v>20</v>
      </c>
      <c r="M7" s="20">
        <v>24</v>
      </c>
    </row>
    <row r="8" spans="2:13" x14ac:dyDescent="0.2">
      <c r="B8" s="37" t="s">
        <v>60</v>
      </c>
      <c r="C8" s="38" t="s">
        <v>49</v>
      </c>
      <c r="D8" s="39" t="e">
        <f t="shared" ref="D8:D71" si="0">priceLookup(B8,C8)</f>
        <v>#VALUE!</v>
      </c>
      <c r="E8" s="38"/>
      <c r="K8" s="23" t="s">
        <v>64</v>
      </c>
      <c r="L8" s="19">
        <v>5</v>
      </c>
      <c r="M8" s="20">
        <v>6</v>
      </c>
    </row>
    <row r="9" spans="2:13" x14ac:dyDescent="0.2">
      <c r="B9" s="37" t="s">
        <v>61</v>
      </c>
      <c r="C9" s="38" t="s">
        <v>48</v>
      </c>
      <c r="D9" s="39" t="e">
        <f t="shared" si="0"/>
        <v>#VALUE!</v>
      </c>
      <c r="E9" s="38"/>
      <c r="K9" s="23" t="s">
        <v>58</v>
      </c>
      <c r="L9" s="19">
        <v>60</v>
      </c>
      <c r="M9" s="20">
        <v>72</v>
      </c>
    </row>
    <row r="10" spans="2:13" x14ac:dyDescent="0.2">
      <c r="B10" s="37" t="s">
        <v>55</v>
      </c>
      <c r="C10" s="38" t="s">
        <v>48</v>
      </c>
      <c r="D10" s="39" t="e">
        <f t="shared" si="0"/>
        <v>#VALUE!</v>
      </c>
      <c r="E10" s="38"/>
      <c r="K10" s="23" t="s">
        <v>54</v>
      </c>
      <c r="L10" s="19">
        <v>100</v>
      </c>
      <c r="M10" s="20">
        <v>120</v>
      </c>
    </row>
    <row r="11" spans="2:13" ht="28.5" customHeight="1" x14ac:dyDescent="0.2">
      <c r="B11" s="37" t="s">
        <v>52</v>
      </c>
      <c r="C11" s="38" t="s">
        <v>48</v>
      </c>
      <c r="D11" s="39" t="e">
        <f t="shared" si="0"/>
        <v>#VALUE!</v>
      </c>
      <c r="E11" s="38"/>
      <c r="K11" s="23" t="s">
        <v>63</v>
      </c>
      <c r="L11" s="19">
        <v>20</v>
      </c>
      <c r="M11" s="20">
        <v>24</v>
      </c>
    </row>
    <row r="12" spans="2:13" x14ac:dyDescent="0.2">
      <c r="B12" s="37" t="s">
        <v>60</v>
      </c>
      <c r="C12" s="38" t="s">
        <v>49</v>
      </c>
      <c r="D12" s="39" t="e">
        <f t="shared" si="0"/>
        <v>#VALUE!</v>
      </c>
      <c r="E12" s="38"/>
      <c r="K12" s="23" t="s">
        <v>60</v>
      </c>
      <c r="L12" s="19">
        <v>35</v>
      </c>
      <c r="M12" s="20">
        <v>42</v>
      </c>
    </row>
    <row r="13" spans="2:13" x14ac:dyDescent="0.2">
      <c r="B13" s="37" t="s">
        <v>54</v>
      </c>
      <c r="C13" s="38" t="s">
        <v>48</v>
      </c>
      <c r="D13" s="39" t="e">
        <f t="shared" si="0"/>
        <v>#VALUE!</v>
      </c>
      <c r="E13" s="38"/>
      <c r="K13" s="23" t="s">
        <v>51</v>
      </c>
      <c r="L13" s="19">
        <v>200</v>
      </c>
      <c r="M13" s="20">
        <v>240</v>
      </c>
    </row>
    <row r="14" spans="2:13" x14ac:dyDescent="0.2">
      <c r="B14" s="37" t="s">
        <v>62</v>
      </c>
      <c r="C14" s="38" t="s">
        <v>48</v>
      </c>
      <c r="D14" s="39" t="e">
        <f t="shared" si="0"/>
        <v>#VALUE!</v>
      </c>
      <c r="E14" s="38"/>
      <c r="K14" s="23" t="s">
        <v>59</v>
      </c>
      <c r="L14" s="19">
        <v>50</v>
      </c>
      <c r="M14" s="20">
        <v>60</v>
      </c>
    </row>
    <row r="15" spans="2:13" x14ac:dyDescent="0.2">
      <c r="B15" s="37" t="s">
        <v>62</v>
      </c>
      <c r="C15" s="38" t="s">
        <v>49</v>
      </c>
      <c r="D15" s="39" t="e">
        <f t="shared" si="0"/>
        <v>#VALUE!</v>
      </c>
      <c r="E15" s="38"/>
      <c r="K15" s="23" t="s">
        <v>61</v>
      </c>
      <c r="L15" s="19">
        <v>25</v>
      </c>
      <c r="M15" s="20">
        <v>30</v>
      </c>
    </row>
    <row r="16" spans="2:13" x14ac:dyDescent="0.2">
      <c r="B16" s="37" t="s">
        <v>56</v>
      </c>
      <c r="C16" s="38" t="s">
        <v>49</v>
      </c>
      <c r="D16" s="39" t="e">
        <f t="shared" si="0"/>
        <v>#VALUE!</v>
      </c>
      <c r="E16" s="38"/>
      <c r="K16" s="23" t="s">
        <v>52</v>
      </c>
      <c r="L16" s="19">
        <v>140</v>
      </c>
      <c r="M16" s="20">
        <v>168</v>
      </c>
    </row>
    <row r="17" spans="2:13" x14ac:dyDescent="0.2">
      <c r="B17" s="37" t="s">
        <v>54</v>
      </c>
      <c r="C17" s="38" t="s">
        <v>49</v>
      </c>
      <c r="D17" s="39" t="e">
        <f t="shared" si="0"/>
        <v>#VALUE!</v>
      </c>
      <c r="E17" s="38"/>
      <c r="K17" s="24" t="s">
        <v>55</v>
      </c>
      <c r="L17" s="21">
        <v>100</v>
      </c>
      <c r="M17" s="22">
        <v>120</v>
      </c>
    </row>
    <row r="18" spans="2:13" x14ac:dyDescent="0.2">
      <c r="B18" s="37" t="s">
        <v>63</v>
      </c>
      <c r="C18" s="38" t="s">
        <v>49</v>
      </c>
      <c r="D18" s="39" t="e">
        <f t="shared" si="0"/>
        <v>#VALUE!</v>
      </c>
      <c r="E18" s="38"/>
    </row>
    <row r="19" spans="2:13" x14ac:dyDescent="0.2">
      <c r="B19" s="37" t="s">
        <v>63</v>
      </c>
      <c r="C19" s="38" t="s">
        <v>49</v>
      </c>
      <c r="D19" s="39" t="e">
        <f t="shared" si="0"/>
        <v>#VALUE!</v>
      </c>
      <c r="E19" s="38"/>
      <c r="L19">
        <f>WarrantyPrice(B9,C9)</f>
        <v>25</v>
      </c>
    </row>
    <row r="20" spans="2:13" x14ac:dyDescent="0.2">
      <c r="B20" s="37" t="s">
        <v>62</v>
      </c>
      <c r="C20" s="38" t="s">
        <v>49</v>
      </c>
      <c r="D20" s="39" t="e">
        <f t="shared" si="0"/>
        <v>#VALUE!</v>
      </c>
      <c r="E20" s="38"/>
    </row>
    <row r="21" spans="2:13" x14ac:dyDescent="0.2">
      <c r="B21" s="37" t="s">
        <v>57</v>
      </c>
      <c r="C21" s="38" t="s">
        <v>49</v>
      </c>
      <c r="D21" s="39" t="e">
        <f t="shared" si="0"/>
        <v>#VALUE!</v>
      </c>
      <c r="E21" s="38"/>
    </row>
    <row r="22" spans="2:13" x14ac:dyDescent="0.2">
      <c r="B22" s="37" t="s">
        <v>60</v>
      </c>
      <c r="C22" s="38" t="s">
        <v>48</v>
      </c>
      <c r="D22" s="39" t="e">
        <f t="shared" si="0"/>
        <v>#VALUE!</v>
      </c>
      <c r="E22" s="38"/>
    </row>
    <row r="23" spans="2:13" x14ac:dyDescent="0.2">
      <c r="B23" s="37" t="s">
        <v>62</v>
      </c>
      <c r="C23" s="38" t="s">
        <v>48</v>
      </c>
      <c r="D23" s="39" t="e">
        <f t="shared" si="0"/>
        <v>#VALUE!</v>
      </c>
      <c r="E23" s="38"/>
    </row>
    <row r="24" spans="2:13" x14ac:dyDescent="0.2">
      <c r="B24" s="37" t="s">
        <v>63</v>
      </c>
      <c r="C24" s="38" t="s">
        <v>49</v>
      </c>
      <c r="D24" s="39" t="e">
        <f t="shared" si="0"/>
        <v>#VALUE!</v>
      </c>
      <c r="E24" s="38"/>
    </row>
    <row r="25" spans="2:13" x14ac:dyDescent="0.2">
      <c r="B25" s="37" t="s">
        <v>64</v>
      </c>
      <c r="C25" s="38" t="s">
        <v>48</v>
      </c>
      <c r="D25" s="39" t="e">
        <f t="shared" si="0"/>
        <v>#VALUE!</v>
      </c>
      <c r="E25" s="38"/>
    </row>
    <row r="26" spans="2:13" x14ac:dyDescent="0.2">
      <c r="B26" s="37" t="s">
        <v>63</v>
      </c>
      <c r="C26" s="38" t="s">
        <v>48</v>
      </c>
      <c r="D26" s="39" t="e">
        <f t="shared" si="0"/>
        <v>#VALUE!</v>
      </c>
      <c r="E26" s="38"/>
    </row>
    <row r="27" spans="2:13" x14ac:dyDescent="0.2">
      <c r="B27" s="37" t="s">
        <v>57</v>
      </c>
      <c r="C27" s="38" t="s">
        <v>49</v>
      </c>
      <c r="D27" s="39" t="e">
        <f t="shared" si="0"/>
        <v>#VALUE!</v>
      </c>
      <c r="E27" s="38"/>
    </row>
    <row r="28" spans="2:13" x14ac:dyDescent="0.2">
      <c r="B28" s="37" t="s">
        <v>60</v>
      </c>
      <c r="C28" s="38" t="s">
        <v>48</v>
      </c>
      <c r="D28" s="39" t="e">
        <f t="shared" si="0"/>
        <v>#VALUE!</v>
      </c>
      <c r="E28" s="38"/>
    </row>
    <row r="29" spans="2:13" x14ac:dyDescent="0.2">
      <c r="B29" s="37" t="s">
        <v>63</v>
      </c>
      <c r="C29" s="38" t="s">
        <v>49</v>
      </c>
      <c r="D29" s="39" t="e">
        <f t="shared" si="0"/>
        <v>#VALUE!</v>
      </c>
      <c r="E29" s="38"/>
    </row>
    <row r="30" spans="2:13" x14ac:dyDescent="0.2">
      <c r="B30" s="37" t="s">
        <v>62</v>
      </c>
      <c r="C30" s="38" t="s">
        <v>48</v>
      </c>
      <c r="D30" s="39" t="e">
        <f t="shared" si="0"/>
        <v>#VALUE!</v>
      </c>
      <c r="E30" s="38"/>
    </row>
    <row r="31" spans="2:13" x14ac:dyDescent="0.2">
      <c r="B31" s="37" t="s">
        <v>60</v>
      </c>
      <c r="C31" s="38" t="s">
        <v>48</v>
      </c>
      <c r="D31" s="39" t="e">
        <f t="shared" si="0"/>
        <v>#VALUE!</v>
      </c>
      <c r="E31" s="38"/>
    </row>
    <row r="32" spans="2:13" x14ac:dyDescent="0.2">
      <c r="B32" s="37" t="s">
        <v>53</v>
      </c>
      <c r="C32" s="38" t="s">
        <v>48</v>
      </c>
      <c r="D32" s="39" t="e">
        <f t="shared" si="0"/>
        <v>#VALUE!</v>
      </c>
      <c r="E32" s="38"/>
    </row>
    <row r="33" spans="2:5" x14ac:dyDescent="0.2">
      <c r="B33" s="37" t="s">
        <v>60</v>
      </c>
      <c r="C33" s="38" t="s">
        <v>49</v>
      </c>
      <c r="D33" s="39" t="e">
        <f t="shared" si="0"/>
        <v>#VALUE!</v>
      </c>
      <c r="E33" s="38"/>
    </row>
    <row r="34" spans="2:5" x14ac:dyDescent="0.2">
      <c r="B34" s="37" t="s">
        <v>62</v>
      </c>
      <c r="C34" s="38" t="s">
        <v>48</v>
      </c>
      <c r="D34" s="39" t="e">
        <f t="shared" si="0"/>
        <v>#VALUE!</v>
      </c>
      <c r="E34" s="38"/>
    </row>
    <row r="35" spans="2:5" x14ac:dyDescent="0.2">
      <c r="B35" s="37" t="s">
        <v>63</v>
      </c>
      <c r="C35" s="38" t="s">
        <v>49</v>
      </c>
      <c r="D35" s="39" t="e">
        <f t="shared" si="0"/>
        <v>#VALUE!</v>
      </c>
      <c r="E35" s="38"/>
    </row>
    <row r="36" spans="2:5" x14ac:dyDescent="0.2">
      <c r="B36" s="37" t="s">
        <v>61</v>
      </c>
      <c r="C36" s="38" t="s">
        <v>48</v>
      </c>
      <c r="D36" s="39" t="e">
        <f t="shared" si="0"/>
        <v>#VALUE!</v>
      </c>
      <c r="E36" s="38"/>
    </row>
    <row r="37" spans="2:5" x14ac:dyDescent="0.2">
      <c r="B37" s="37" t="s">
        <v>56</v>
      </c>
      <c r="C37" s="38" t="s">
        <v>48</v>
      </c>
      <c r="D37" s="39" t="e">
        <f t="shared" si="0"/>
        <v>#VALUE!</v>
      </c>
      <c r="E37" s="38"/>
    </row>
    <row r="38" spans="2:5" x14ac:dyDescent="0.2">
      <c r="B38" s="37" t="s">
        <v>63</v>
      </c>
      <c r="C38" s="38" t="s">
        <v>48</v>
      </c>
      <c r="D38" s="39" t="e">
        <f t="shared" si="0"/>
        <v>#VALUE!</v>
      </c>
      <c r="E38" s="38"/>
    </row>
    <row r="39" spans="2:5" x14ac:dyDescent="0.2">
      <c r="B39" s="37" t="s">
        <v>52</v>
      </c>
      <c r="C39" s="38" t="s">
        <v>49</v>
      </c>
      <c r="D39" s="39" t="e">
        <f t="shared" si="0"/>
        <v>#VALUE!</v>
      </c>
      <c r="E39" s="38"/>
    </row>
    <row r="40" spans="2:5" x14ac:dyDescent="0.2">
      <c r="B40" s="37" t="s">
        <v>61</v>
      </c>
      <c r="C40" s="38" t="s">
        <v>48</v>
      </c>
      <c r="D40" s="39" t="e">
        <f t="shared" si="0"/>
        <v>#VALUE!</v>
      </c>
      <c r="E40" s="38"/>
    </row>
    <row r="41" spans="2:5" x14ac:dyDescent="0.2">
      <c r="B41" s="37" t="s">
        <v>58</v>
      </c>
      <c r="C41" s="38" t="s">
        <v>49</v>
      </c>
      <c r="D41" s="39" t="e">
        <f t="shared" si="0"/>
        <v>#VALUE!</v>
      </c>
      <c r="E41" s="38"/>
    </row>
    <row r="42" spans="2:5" x14ac:dyDescent="0.2">
      <c r="B42" s="37" t="s">
        <v>63</v>
      </c>
      <c r="C42" s="38" t="s">
        <v>48</v>
      </c>
      <c r="D42" s="39" t="e">
        <f t="shared" si="0"/>
        <v>#VALUE!</v>
      </c>
      <c r="E42" s="38"/>
    </row>
    <row r="43" spans="2:5" x14ac:dyDescent="0.2">
      <c r="B43" s="37" t="s">
        <v>58</v>
      </c>
      <c r="C43" s="38" t="s">
        <v>49</v>
      </c>
      <c r="D43" s="39" t="e">
        <f t="shared" si="0"/>
        <v>#VALUE!</v>
      </c>
      <c r="E43" s="38"/>
    </row>
    <row r="44" spans="2:5" x14ac:dyDescent="0.2">
      <c r="B44" s="37" t="s">
        <v>62</v>
      </c>
      <c r="C44" s="38" t="s">
        <v>48</v>
      </c>
      <c r="D44" s="39" t="e">
        <f t="shared" si="0"/>
        <v>#VALUE!</v>
      </c>
      <c r="E44" s="38"/>
    </row>
    <row r="45" spans="2:5" x14ac:dyDescent="0.2">
      <c r="B45" s="37" t="s">
        <v>53</v>
      </c>
      <c r="C45" s="38" t="s">
        <v>48</v>
      </c>
      <c r="D45" s="39" t="e">
        <f t="shared" si="0"/>
        <v>#VALUE!</v>
      </c>
      <c r="E45" s="38"/>
    </row>
    <row r="46" spans="2:5" x14ac:dyDescent="0.2">
      <c r="B46" s="37" t="s">
        <v>56</v>
      </c>
      <c r="C46" s="38" t="s">
        <v>48</v>
      </c>
      <c r="D46" s="39" t="e">
        <f t="shared" si="0"/>
        <v>#VALUE!</v>
      </c>
      <c r="E46" s="38"/>
    </row>
    <row r="47" spans="2:5" x14ac:dyDescent="0.2">
      <c r="B47" s="37" t="s">
        <v>61</v>
      </c>
      <c r="C47" s="38" t="s">
        <v>49</v>
      </c>
      <c r="D47" s="39" t="e">
        <f t="shared" si="0"/>
        <v>#VALUE!</v>
      </c>
      <c r="E47" s="38"/>
    </row>
    <row r="48" spans="2:5" x14ac:dyDescent="0.2">
      <c r="B48" s="37" t="s">
        <v>63</v>
      </c>
      <c r="C48" s="38" t="s">
        <v>48</v>
      </c>
      <c r="D48" s="39" t="e">
        <f t="shared" si="0"/>
        <v>#VALUE!</v>
      </c>
      <c r="E48" s="38"/>
    </row>
    <row r="49" spans="2:5" x14ac:dyDescent="0.2">
      <c r="B49" s="37" t="s">
        <v>59</v>
      </c>
      <c r="C49" s="38" t="s">
        <v>49</v>
      </c>
      <c r="D49" s="39" t="e">
        <f t="shared" si="0"/>
        <v>#VALUE!</v>
      </c>
      <c r="E49" s="38"/>
    </row>
    <row r="50" spans="2:5" x14ac:dyDescent="0.2">
      <c r="B50" s="37" t="s">
        <v>64</v>
      </c>
      <c r="C50" s="38" t="s">
        <v>48</v>
      </c>
      <c r="D50" s="39" t="e">
        <f t="shared" si="0"/>
        <v>#VALUE!</v>
      </c>
      <c r="E50" s="38"/>
    </row>
    <row r="51" spans="2:5" x14ac:dyDescent="0.2">
      <c r="B51" s="37" t="s">
        <v>54</v>
      </c>
      <c r="C51" s="38" t="s">
        <v>49</v>
      </c>
      <c r="D51" s="39" t="e">
        <f t="shared" si="0"/>
        <v>#VALUE!</v>
      </c>
      <c r="E51" s="38"/>
    </row>
    <row r="52" spans="2:5" x14ac:dyDescent="0.2">
      <c r="B52" s="37" t="s">
        <v>60</v>
      </c>
      <c r="C52" s="38" t="s">
        <v>48</v>
      </c>
      <c r="D52" s="39" t="e">
        <f t="shared" si="0"/>
        <v>#VALUE!</v>
      </c>
      <c r="E52" s="38"/>
    </row>
    <row r="53" spans="2:5" x14ac:dyDescent="0.2">
      <c r="B53" s="37" t="s">
        <v>57</v>
      </c>
      <c r="C53" s="38" t="s">
        <v>48</v>
      </c>
      <c r="D53" s="39" t="e">
        <f t="shared" si="0"/>
        <v>#VALUE!</v>
      </c>
      <c r="E53" s="38"/>
    </row>
    <row r="54" spans="2:5" x14ac:dyDescent="0.2">
      <c r="B54" s="37" t="s">
        <v>63</v>
      </c>
      <c r="C54" s="38" t="s">
        <v>49</v>
      </c>
      <c r="D54" s="39" t="e">
        <f t="shared" si="0"/>
        <v>#VALUE!</v>
      </c>
      <c r="E54" s="38"/>
    </row>
    <row r="55" spans="2:5" x14ac:dyDescent="0.2">
      <c r="B55" s="37" t="s">
        <v>59</v>
      </c>
      <c r="C55" s="38" t="s">
        <v>49</v>
      </c>
      <c r="D55" s="39" t="e">
        <f t="shared" si="0"/>
        <v>#VALUE!</v>
      </c>
      <c r="E55" s="38"/>
    </row>
    <row r="56" spans="2:5" x14ac:dyDescent="0.2">
      <c r="B56" s="37" t="s">
        <v>51</v>
      </c>
      <c r="C56" s="38" t="s">
        <v>48</v>
      </c>
      <c r="D56" s="39" t="e">
        <f t="shared" si="0"/>
        <v>#VALUE!</v>
      </c>
      <c r="E56" s="38"/>
    </row>
    <row r="57" spans="2:5" x14ac:dyDescent="0.2">
      <c r="B57" s="37" t="s">
        <v>60</v>
      </c>
      <c r="C57" s="38" t="s">
        <v>48</v>
      </c>
      <c r="D57" s="39" t="e">
        <f t="shared" si="0"/>
        <v>#VALUE!</v>
      </c>
      <c r="E57" s="38"/>
    </row>
    <row r="58" spans="2:5" x14ac:dyDescent="0.2">
      <c r="B58" s="37" t="s">
        <v>55</v>
      </c>
      <c r="C58" s="38" t="s">
        <v>48</v>
      </c>
      <c r="D58" s="39" t="e">
        <f t="shared" si="0"/>
        <v>#VALUE!</v>
      </c>
      <c r="E58" s="38"/>
    </row>
    <row r="59" spans="2:5" x14ac:dyDescent="0.2">
      <c r="B59" s="37" t="s">
        <v>60</v>
      </c>
      <c r="C59" s="38" t="s">
        <v>49</v>
      </c>
      <c r="D59" s="39" t="e">
        <f t="shared" si="0"/>
        <v>#VALUE!</v>
      </c>
      <c r="E59" s="38"/>
    </row>
    <row r="60" spans="2:5" x14ac:dyDescent="0.2">
      <c r="B60" s="37" t="s">
        <v>54</v>
      </c>
      <c r="C60" s="38" t="s">
        <v>49</v>
      </c>
      <c r="D60" s="39" t="e">
        <f t="shared" si="0"/>
        <v>#VALUE!</v>
      </c>
      <c r="E60" s="38"/>
    </row>
    <row r="61" spans="2:5" x14ac:dyDescent="0.2">
      <c r="B61" s="37" t="s">
        <v>61</v>
      </c>
      <c r="C61" s="38" t="s">
        <v>49</v>
      </c>
      <c r="D61" s="39" t="e">
        <f t="shared" si="0"/>
        <v>#VALUE!</v>
      </c>
      <c r="E61" s="38"/>
    </row>
    <row r="62" spans="2:5" x14ac:dyDescent="0.2">
      <c r="B62" s="37" t="s">
        <v>64</v>
      </c>
      <c r="C62" s="38" t="s">
        <v>49</v>
      </c>
      <c r="D62" s="39" t="e">
        <f t="shared" si="0"/>
        <v>#VALUE!</v>
      </c>
      <c r="E62" s="38"/>
    </row>
    <row r="63" spans="2:5" x14ac:dyDescent="0.2">
      <c r="B63" s="37" t="s">
        <v>53</v>
      </c>
      <c r="C63" s="38" t="s">
        <v>48</v>
      </c>
      <c r="D63" s="39" t="e">
        <f t="shared" si="0"/>
        <v>#VALUE!</v>
      </c>
      <c r="E63" s="38"/>
    </row>
    <row r="64" spans="2:5" x14ac:dyDescent="0.2">
      <c r="B64" s="37" t="s">
        <v>64</v>
      </c>
      <c r="C64" s="38" t="s">
        <v>48</v>
      </c>
      <c r="D64" s="39" t="e">
        <f t="shared" si="0"/>
        <v>#VALUE!</v>
      </c>
      <c r="E64" s="38"/>
    </row>
    <row r="65" spans="2:5" x14ac:dyDescent="0.2">
      <c r="B65" s="37" t="s">
        <v>52</v>
      </c>
      <c r="C65" s="38" t="s">
        <v>49</v>
      </c>
      <c r="D65" s="39" t="e">
        <f t="shared" si="0"/>
        <v>#VALUE!</v>
      </c>
      <c r="E65" s="38"/>
    </row>
    <row r="66" spans="2:5" x14ac:dyDescent="0.2">
      <c r="B66" s="37" t="s">
        <v>64</v>
      </c>
      <c r="C66" s="38" t="s">
        <v>48</v>
      </c>
      <c r="D66" s="39" t="e">
        <f t="shared" si="0"/>
        <v>#VALUE!</v>
      </c>
      <c r="E66" s="38"/>
    </row>
    <row r="67" spans="2:5" x14ac:dyDescent="0.2">
      <c r="B67" s="37" t="s">
        <v>60</v>
      </c>
      <c r="C67" s="38" t="s">
        <v>48</v>
      </c>
      <c r="D67" s="39" t="e">
        <f t="shared" si="0"/>
        <v>#VALUE!</v>
      </c>
      <c r="E67" s="38"/>
    </row>
    <row r="68" spans="2:5" x14ac:dyDescent="0.2">
      <c r="B68" s="37" t="s">
        <v>57</v>
      </c>
      <c r="C68" s="38" t="s">
        <v>49</v>
      </c>
      <c r="D68" s="39" t="e">
        <f t="shared" si="0"/>
        <v>#VALUE!</v>
      </c>
      <c r="E68" s="38"/>
    </row>
    <row r="69" spans="2:5" x14ac:dyDescent="0.2">
      <c r="B69" s="37" t="s">
        <v>58</v>
      </c>
      <c r="C69" s="38" t="s">
        <v>48</v>
      </c>
      <c r="D69" s="39" t="e">
        <f t="shared" si="0"/>
        <v>#VALUE!</v>
      </c>
      <c r="E69" s="38"/>
    </row>
    <row r="70" spans="2:5" x14ac:dyDescent="0.2">
      <c r="B70" s="37" t="s">
        <v>60</v>
      </c>
      <c r="C70" s="38" t="s">
        <v>49</v>
      </c>
      <c r="D70" s="39" t="e">
        <f t="shared" si="0"/>
        <v>#VALUE!</v>
      </c>
      <c r="E70" s="38"/>
    </row>
    <row r="71" spans="2:5" x14ac:dyDescent="0.2">
      <c r="B71" s="37" t="s">
        <v>63</v>
      </c>
      <c r="C71" s="38" t="s">
        <v>48</v>
      </c>
      <c r="D71" s="39" t="e">
        <f t="shared" si="0"/>
        <v>#VALUE!</v>
      </c>
      <c r="E71" s="38"/>
    </row>
    <row r="72" spans="2:5" x14ac:dyDescent="0.2">
      <c r="B72" s="37" t="s">
        <v>60</v>
      </c>
      <c r="C72" s="38" t="s">
        <v>49</v>
      </c>
      <c r="D72" s="39" t="e">
        <f t="shared" ref="D72:D135" si="1">priceLookup(B72,C72)</f>
        <v>#VALUE!</v>
      </c>
      <c r="E72" s="38"/>
    </row>
    <row r="73" spans="2:5" x14ac:dyDescent="0.2">
      <c r="B73" s="37" t="s">
        <v>52</v>
      </c>
      <c r="C73" s="38" t="s">
        <v>49</v>
      </c>
      <c r="D73" s="39" t="e">
        <f t="shared" si="1"/>
        <v>#VALUE!</v>
      </c>
      <c r="E73" s="38"/>
    </row>
    <row r="74" spans="2:5" x14ac:dyDescent="0.2">
      <c r="B74" s="37" t="s">
        <v>63</v>
      </c>
      <c r="C74" s="38" t="s">
        <v>49</v>
      </c>
      <c r="D74" s="39" t="e">
        <f t="shared" si="1"/>
        <v>#VALUE!</v>
      </c>
      <c r="E74" s="38"/>
    </row>
    <row r="75" spans="2:5" x14ac:dyDescent="0.2">
      <c r="B75" s="37" t="s">
        <v>57</v>
      </c>
      <c r="C75" s="38" t="s">
        <v>48</v>
      </c>
      <c r="D75" s="39" t="e">
        <f t="shared" si="1"/>
        <v>#VALUE!</v>
      </c>
      <c r="E75" s="38"/>
    </row>
    <row r="76" spans="2:5" x14ac:dyDescent="0.2">
      <c r="B76" s="37" t="s">
        <v>53</v>
      </c>
      <c r="C76" s="38" t="s">
        <v>49</v>
      </c>
      <c r="D76" s="39" t="e">
        <f t="shared" si="1"/>
        <v>#VALUE!</v>
      </c>
      <c r="E76" s="38"/>
    </row>
    <row r="77" spans="2:5" x14ac:dyDescent="0.2">
      <c r="B77" s="37" t="s">
        <v>54</v>
      </c>
      <c r="C77" s="38" t="s">
        <v>49</v>
      </c>
      <c r="D77" s="39" t="e">
        <f t="shared" si="1"/>
        <v>#VALUE!</v>
      </c>
      <c r="E77" s="38"/>
    </row>
    <row r="78" spans="2:5" x14ac:dyDescent="0.2">
      <c r="B78" s="37" t="s">
        <v>62</v>
      </c>
      <c r="C78" s="38" t="s">
        <v>48</v>
      </c>
      <c r="D78" s="39" t="e">
        <f t="shared" si="1"/>
        <v>#VALUE!</v>
      </c>
      <c r="E78" s="38"/>
    </row>
    <row r="79" spans="2:5" x14ac:dyDescent="0.2">
      <c r="B79" s="37" t="s">
        <v>63</v>
      </c>
      <c r="C79" s="38" t="s">
        <v>48</v>
      </c>
      <c r="D79" s="39" t="e">
        <f t="shared" si="1"/>
        <v>#VALUE!</v>
      </c>
      <c r="E79" s="38"/>
    </row>
    <row r="80" spans="2:5" x14ac:dyDescent="0.2">
      <c r="B80" s="37" t="s">
        <v>62</v>
      </c>
      <c r="C80" s="38" t="s">
        <v>49</v>
      </c>
      <c r="D80" s="39" t="e">
        <f t="shared" si="1"/>
        <v>#VALUE!</v>
      </c>
      <c r="E80" s="38"/>
    </row>
    <row r="81" spans="2:5" x14ac:dyDescent="0.2">
      <c r="B81" s="37" t="s">
        <v>57</v>
      </c>
      <c r="C81" s="38" t="s">
        <v>48</v>
      </c>
      <c r="D81" s="39" t="e">
        <f t="shared" si="1"/>
        <v>#VALUE!</v>
      </c>
      <c r="E81" s="38"/>
    </row>
    <row r="82" spans="2:5" x14ac:dyDescent="0.2">
      <c r="B82" s="37" t="s">
        <v>60</v>
      </c>
      <c r="C82" s="38" t="s">
        <v>49</v>
      </c>
      <c r="D82" s="39" t="e">
        <f t="shared" si="1"/>
        <v>#VALUE!</v>
      </c>
      <c r="E82" s="38"/>
    </row>
    <row r="83" spans="2:5" x14ac:dyDescent="0.2">
      <c r="B83" s="37" t="s">
        <v>57</v>
      </c>
      <c r="C83" s="38" t="s">
        <v>48</v>
      </c>
      <c r="D83" s="39" t="e">
        <f t="shared" si="1"/>
        <v>#VALUE!</v>
      </c>
      <c r="E83" s="38"/>
    </row>
    <row r="84" spans="2:5" x14ac:dyDescent="0.2">
      <c r="B84" s="37" t="s">
        <v>63</v>
      </c>
      <c r="C84" s="38" t="s">
        <v>48</v>
      </c>
      <c r="D84" s="39" t="e">
        <f t="shared" si="1"/>
        <v>#VALUE!</v>
      </c>
      <c r="E84" s="38"/>
    </row>
    <row r="85" spans="2:5" x14ac:dyDescent="0.2">
      <c r="B85" s="37" t="s">
        <v>52</v>
      </c>
      <c r="C85" s="38" t="s">
        <v>48</v>
      </c>
      <c r="D85" s="39" t="e">
        <f t="shared" si="1"/>
        <v>#VALUE!</v>
      </c>
      <c r="E85" s="38"/>
    </row>
    <row r="86" spans="2:5" x14ac:dyDescent="0.2">
      <c r="B86" s="37" t="s">
        <v>64</v>
      </c>
      <c r="C86" s="38" t="s">
        <v>49</v>
      </c>
      <c r="D86" s="39" t="e">
        <f t="shared" si="1"/>
        <v>#VALUE!</v>
      </c>
      <c r="E86" s="38"/>
    </row>
    <row r="87" spans="2:5" x14ac:dyDescent="0.2">
      <c r="B87" s="37" t="s">
        <v>58</v>
      </c>
      <c r="C87" s="38" t="s">
        <v>49</v>
      </c>
      <c r="D87" s="39" t="e">
        <f t="shared" si="1"/>
        <v>#VALUE!</v>
      </c>
      <c r="E87" s="38"/>
    </row>
    <row r="88" spans="2:5" x14ac:dyDescent="0.2">
      <c r="B88" s="37" t="s">
        <v>54</v>
      </c>
      <c r="C88" s="38" t="s">
        <v>48</v>
      </c>
      <c r="D88" s="39" t="e">
        <f t="shared" si="1"/>
        <v>#VALUE!</v>
      </c>
      <c r="E88" s="38"/>
    </row>
    <row r="89" spans="2:5" x14ac:dyDescent="0.2">
      <c r="B89" s="37" t="s">
        <v>51</v>
      </c>
      <c r="C89" s="38" t="s">
        <v>49</v>
      </c>
      <c r="D89" s="39" t="e">
        <f t="shared" si="1"/>
        <v>#VALUE!</v>
      </c>
      <c r="E89" s="38"/>
    </row>
    <row r="90" spans="2:5" x14ac:dyDescent="0.2">
      <c r="B90" s="37" t="s">
        <v>60</v>
      </c>
      <c r="C90" s="38" t="s">
        <v>48</v>
      </c>
      <c r="D90" s="39" t="e">
        <f t="shared" si="1"/>
        <v>#VALUE!</v>
      </c>
      <c r="E90" s="38"/>
    </row>
    <row r="91" spans="2:5" x14ac:dyDescent="0.2">
      <c r="B91" s="37" t="s">
        <v>62</v>
      </c>
      <c r="C91" s="38" t="s">
        <v>49</v>
      </c>
      <c r="D91" s="39" t="e">
        <f t="shared" si="1"/>
        <v>#VALUE!</v>
      </c>
      <c r="E91" s="38"/>
    </row>
    <row r="92" spans="2:5" x14ac:dyDescent="0.2">
      <c r="B92" s="37" t="s">
        <v>63</v>
      </c>
      <c r="C92" s="38" t="s">
        <v>48</v>
      </c>
      <c r="D92" s="39" t="e">
        <f t="shared" si="1"/>
        <v>#VALUE!</v>
      </c>
      <c r="E92" s="38"/>
    </row>
    <row r="93" spans="2:5" x14ac:dyDescent="0.2">
      <c r="B93" s="37" t="s">
        <v>63</v>
      </c>
      <c r="C93" s="38" t="s">
        <v>48</v>
      </c>
      <c r="D93" s="39" t="e">
        <f t="shared" si="1"/>
        <v>#VALUE!</v>
      </c>
      <c r="E93" s="38"/>
    </row>
    <row r="94" spans="2:5" x14ac:dyDescent="0.2">
      <c r="B94" s="37" t="s">
        <v>61</v>
      </c>
      <c r="C94" s="38" t="s">
        <v>48</v>
      </c>
      <c r="D94" s="39" t="e">
        <f t="shared" si="1"/>
        <v>#VALUE!</v>
      </c>
      <c r="E94" s="38"/>
    </row>
    <row r="95" spans="2:5" x14ac:dyDescent="0.2">
      <c r="B95" s="37" t="s">
        <v>60</v>
      </c>
      <c r="C95" s="38" t="s">
        <v>48</v>
      </c>
      <c r="D95" s="39" t="e">
        <f t="shared" si="1"/>
        <v>#VALUE!</v>
      </c>
      <c r="E95" s="38"/>
    </row>
    <row r="96" spans="2:5" x14ac:dyDescent="0.2">
      <c r="B96" s="37" t="s">
        <v>60</v>
      </c>
      <c r="C96" s="38" t="s">
        <v>48</v>
      </c>
      <c r="D96" s="39" t="e">
        <f t="shared" si="1"/>
        <v>#VALUE!</v>
      </c>
      <c r="E96" s="38"/>
    </row>
    <row r="97" spans="2:5" x14ac:dyDescent="0.2">
      <c r="B97" s="37" t="s">
        <v>63</v>
      </c>
      <c r="C97" s="38" t="s">
        <v>49</v>
      </c>
      <c r="D97" s="39" t="e">
        <f t="shared" si="1"/>
        <v>#VALUE!</v>
      </c>
      <c r="E97" s="38"/>
    </row>
    <row r="98" spans="2:5" x14ac:dyDescent="0.2">
      <c r="B98" s="37" t="s">
        <v>62</v>
      </c>
      <c r="C98" s="38" t="s">
        <v>48</v>
      </c>
      <c r="D98" s="39" t="e">
        <f t="shared" si="1"/>
        <v>#VALUE!</v>
      </c>
      <c r="E98" s="38"/>
    </row>
    <row r="99" spans="2:5" x14ac:dyDescent="0.2">
      <c r="B99" s="37" t="s">
        <v>63</v>
      </c>
      <c r="C99" s="38" t="s">
        <v>48</v>
      </c>
      <c r="D99" s="39" t="e">
        <f t="shared" si="1"/>
        <v>#VALUE!</v>
      </c>
      <c r="E99" s="38"/>
    </row>
    <row r="100" spans="2:5" x14ac:dyDescent="0.2">
      <c r="B100" s="37" t="s">
        <v>57</v>
      </c>
      <c r="C100" s="38" t="s">
        <v>48</v>
      </c>
      <c r="D100" s="39" t="e">
        <f t="shared" si="1"/>
        <v>#VALUE!</v>
      </c>
      <c r="E100" s="38"/>
    </row>
    <row r="101" spans="2:5" x14ac:dyDescent="0.2">
      <c r="B101" s="37" t="s">
        <v>64</v>
      </c>
      <c r="C101" s="38" t="s">
        <v>49</v>
      </c>
      <c r="D101" s="39" t="e">
        <f t="shared" si="1"/>
        <v>#VALUE!</v>
      </c>
    </row>
    <row r="102" spans="2:5" x14ac:dyDescent="0.2">
      <c r="B102" s="37" t="s">
        <v>52</v>
      </c>
      <c r="C102" s="38" t="s">
        <v>49</v>
      </c>
      <c r="D102" s="39" t="e">
        <f t="shared" si="1"/>
        <v>#VALUE!</v>
      </c>
    </row>
    <row r="103" spans="2:5" x14ac:dyDescent="0.2">
      <c r="B103" s="37" t="s">
        <v>60</v>
      </c>
      <c r="C103" s="38" t="s">
        <v>49</v>
      </c>
      <c r="D103" s="39" t="e">
        <f t="shared" si="1"/>
        <v>#VALUE!</v>
      </c>
    </row>
    <row r="104" spans="2:5" x14ac:dyDescent="0.2">
      <c r="B104" s="37" t="s">
        <v>61</v>
      </c>
      <c r="C104" s="38" t="s">
        <v>48</v>
      </c>
      <c r="D104" s="39" t="e">
        <f t="shared" si="1"/>
        <v>#VALUE!</v>
      </c>
    </row>
    <row r="105" spans="2:5" x14ac:dyDescent="0.2">
      <c r="B105" s="37" t="s">
        <v>64</v>
      </c>
      <c r="C105" s="38" t="s">
        <v>49</v>
      </c>
      <c r="D105" s="39" t="e">
        <f t="shared" si="1"/>
        <v>#VALUE!</v>
      </c>
    </row>
    <row r="106" spans="2:5" x14ac:dyDescent="0.2">
      <c r="B106" s="37" t="s">
        <v>63</v>
      </c>
      <c r="C106" s="38" t="s">
        <v>48</v>
      </c>
      <c r="D106" s="39" t="e">
        <f t="shared" si="1"/>
        <v>#VALUE!</v>
      </c>
    </row>
    <row r="107" spans="2:5" x14ac:dyDescent="0.2">
      <c r="B107" s="37" t="s">
        <v>55</v>
      </c>
      <c r="C107" s="38" t="s">
        <v>49</v>
      </c>
      <c r="D107" s="39" t="e">
        <f t="shared" si="1"/>
        <v>#VALUE!</v>
      </c>
    </row>
    <row r="108" spans="2:5" x14ac:dyDescent="0.2">
      <c r="B108" s="37" t="s">
        <v>63</v>
      </c>
      <c r="C108" s="38" t="s">
        <v>48</v>
      </c>
      <c r="D108" s="39" t="e">
        <f t="shared" si="1"/>
        <v>#VALUE!</v>
      </c>
    </row>
    <row r="109" spans="2:5" x14ac:dyDescent="0.2">
      <c r="B109" s="37" t="s">
        <v>60</v>
      </c>
      <c r="C109" s="38" t="s">
        <v>49</v>
      </c>
      <c r="D109" s="39" t="e">
        <f t="shared" si="1"/>
        <v>#VALUE!</v>
      </c>
    </row>
    <row r="110" spans="2:5" x14ac:dyDescent="0.2">
      <c r="B110" s="37" t="s">
        <v>54</v>
      </c>
      <c r="C110" s="38" t="s">
        <v>48</v>
      </c>
      <c r="D110" s="39" t="e">
        <f t="shared" si="1"/>
        <v>#VALUE!</v>
      </c>
    </row>
    <row r="111" spans="2:5" x14ac:dyDescent="0.2">
      <c r="B111" s="37" t="s">
        <v>60</v>
      </c>
      <c r="C111" s="38" t="s">
        <v>49</v>
      </c>
      <c r="D111" s="39" t="e">
        <f t="shared" si="1"/>
        <v>#VALUE!</v>
      </c>
    </row>
    <row r="112" spans="2:5" x14ac:dyDescent="0.2">
      <c r="B112" s="37" t="s">
        <v>54</v>
      </c>
      <c r="C112" s="38" t="s">
        <v>48</v>
      </c>
      <c r="D112" s="39" t="e">
        <f t="shared" si="1"/>
        <v>#VALUE!</v>
      </c>
    </row>
    <row r="113" spans="2:4" x14ac:dyDescent="0.2">
      <c r="B113" s="37" t="s">
        <v>60</v>
      </c>
      <c r="C113" s="38" t="s">
        <v>49</v>
      </c>
      <c r="D113" s="39" t="e">
        <f t="shared" si="1"/>
        <v>#VALUE!</v>
      </c>
    </row>
    <row r="114" spans="2:4" x14ac:dyDescent="0.2">
      <c r="B114" s="37" t="s">
        <v>62</v>
      </c>
      <c r="C114" s="38" t="s">
        <v>49</v>
      </c>
      <c r="D114" s="39" t="e">
        <f t="shared" si="1"/>
        <v>#VALUE!</v>
      </c>
    </row>
    <row r="115" spans="2:4" x14ac:dyDescent="0.2">
      <c r="B115" s="37" t="s">
        <v>62</v>
      </c>
      <c r="C115" s="38" t="s">
        <v>48</v>
      </c>
      <c r="D115" s="39" t="e">
        <f t="shared" si="1"/>
        <v>#VALUE!</v>
      </c>
    </row>
    <row r="116" spans="2:4" x14ac:dyDescent="0.2">
      <c r="B116" s="37" t="s">
        <v>60</v>
      </c>
      <c r="C116" s="38" t="s">
        <v>49</v>
      </c>
      <c r="D116" s="39" t="e">
        <f t="shared" si="1"/>
        <v>#VALUE!</v>
      </c>
    </row>
    <row r="117" spans="2:4" x14ac:dyDescent="0.2">
      <c r="B117" s="37" t="s">
        <v>52</v>
      </c>
      <c r="C117" s="38" t="s">
        <v>48</v>
      </c>
      <c r="D117" s="39" t="e">
        <f t="shared" si="1"/>
        <v>#VALUE!</v>
      </c>
    </row>
    <row r="118" spans="2:4" x14ac:dyDescent="0.2">
      <c r="B118" s="37" t="s">
        <v>53</v>
      </c>
      <c r="C118" s="38" t="s">
        <v>49</v>
      </c>
      <c r="D118" s="39" t="e">
        <f t="shared" si="1"/>
        <v>#VALUE!</v>
      </c>
    </row>
    <row r="119" spans="2:4" x14ac:dyDescent="0.2">
      <c r="B119" s="37" t="s">
        <v>62</v>
      </c>
      <c r="C119" s="38" t="s">
        <v>48</v>
      </c>
      <c r="D119" s="39" t="e">
        <f t="shared" si="1"/>
        <v>#VALUE!</v>
      </c>
    </row>
    <row r="120" spans="2:4" x14ac:dyDescent="0.2">
      <c r="B120" s="37" t="s">
        <v>54</v>
      </c>
      <c r="C120" s="38" t="s">
        <v>49</v>
      </c>
      <c r="D120" s="39" t="e">
        <f t="shared" si="1"/>
        <v>#VALUE!</v>
      </c>
    </row>
    <row r="121" spans="2:4" x14ac:dyDescent="0.2">
      <c r="B121" s="37" t="s">
        <v>51</v>
      </c>
      <c r="C121" s="38" t="s">
        <v>48</v>
      </c>
      <c r="D121" s="39" t="e">
        <f t="shared" si="1"/>
        <v>#VALUE!</v>
      </c>
    </row>
    <row r="122" spans="2:4" x14ac:dyDescent="0.2">
      <c r="B122" s="37" t="s">
        <v>63</v>
      </c>
      <c r="C122" s="38" t="s">
        <v>49</v>
      </c>
      <c r="D122" s="39" t="e">
        <f t="shared" si="1"/>
        <v>#VALUE!</v>
      </c>
    </row>
    <row r="123" spans="2:4" x14ac:dyDescent="0.2">
      <c r="B123" s="37" t="s">
        <v>52</v>
      </c>
      <c r="C123" s="38" t="s">
        <v>48</v>
      </c>
      <c r="D123" s="39" t="e">
        <f t="shared" si="1"/>
        <v>#VALUE!</v>
      </c>
    </row>
    <row r="124" spans="2:4" x14ac:dyDescent="0.2">
      <c r="B124" s="37" t="s">
        <v>57</v>
      </c>
      <c r="C124" s="38" t="s">
        <v>49</v>
      </c>
      <c r="D124" s="39" t="e">
        <f t="shared" si="1"/>
        <v>#VALUE!</v>
      </c>
    </row>
    <row r="125" spans="2:4" x14ac:dyDescent="0.2">
      <c r="B125" s="37" t="s">
        <v>60</v>
      </c>
      <c r="C125" s="38" t="s">
        <v>48</v>
      </c>
      <c r="D125" s="39" t="e">
        <f t="shared" si="1"/>
        <v>#VALUE!</v>
      </c>
    </row>
    <row r="126" spans="2:4" x14ac:dyDescent="0.2">
      <c r="B126" s="37" t="s">
        <v>64</v>
      </c>
      <c r="C126" s="38" t="s">
        <v>49</v>
      </c>
      <c r="D126" s="39" t="e">
        <f t="shared" si="1"/>
        <v>#VALUE!</v>
      </c>
    </row>
    <row r="127" spans="2:4" x14ac:dyDescent="0.2">
      <c r="B127" s="37" t="s">
        <v>63</v>
      </c>
      <c r="C127" s="38" t="s">
        <v>48</v>
      </c>
      <c r="D127" s="39" t="e">
        <f t="shared" si="1"/>
        <v>#VALUE!</v>
      </c>
    </row>
    <row r="128" spans="2:4" x14ac:dyDescent="0.2">
      <c r="B128" s="37" t="s">
        <v>58</v>
      </c>
      <c r="C128" s="38" t="s">
        <v>48</v>
      </c>
      <c r="D128" s="39" t="e">
        <f t="shared" si="1"/>
        <v>#VALUE!</v>
      </c>
    </row>
    <row r="129" spans="2:4" x14ac:dyDescent="0.2">
      <c r="B129" s="37" t="s">
        <v>52</v>
      </c>
      <c r="C129" s="38" t="s">
        <v>49</v>
      </c>
      <c r="D129" s="39" t="e">
        <f t="shared" si="1"/>
        <v>#VALUE!</v>
      </c>
    </row>
    <row r="130" spans="2:4" x14ac:dyDescent="0.2">
      <c r="B130" s="37" t="s">
        <v>59</v>
      </c>
      <c r="C130" s="38" t="s">
        <v>48</v>
      </c>
      <c r="D130" s="39" t="e">
        <f t="shared" si="1"/>
        <v>#VALUE!</v>
      </c>
    </row>
    <row r="131" spans="2:4" x14ac:dyDescent="0.2">
      <c r="B131" s="37" t="s">
        <v>60</v>
      </c>
      <c r="C131" s="38" t="s">
        <v>48</v>
      </c>
      <c r="D131" s="39" t="e">
        <f t="shared" si="1"/>
        <v>#VALUE!</v>
      </c>
    </row>
    <row r="132" spans="2:4" x14ac:dyDescent="0.2">
      <c r="B132" s="37" t="s">
        <v>57</v>
      </c>
      <c r="C132" s="38" t="s">
        <v>49</v>
      </c>
      <c r="D132" s="39" t="e">
        <f t="shared" si="1"/>
        <v>#VALUE!</v>
      </c>
    </row>
    <row r="133" spans="2:4" x14ac:dyDescent="0.2">
      <c r="B133" s="37" t="s">
        <v>58</v>
      </c>
      <c r="C133" s="38" t="s">
        <v>48</v>
      </c>
      <c r="D133" s="39" t="e">
        <f t="shared" si="1"/>
        <v>#VALUE!</v>
      </c>
    </row>
    <row r="134" spans="2:4" x14ac:dyDescent="0.2">
      <c r="B134" s="37" t="s">
        <v>52</v>
      </c>
      <c r="C134" s="38" t="s">
        <v>48</v>
      </c>
      <c r="D134" s="39" t="e">
        <f t="shared" si="1"/>
        <v>#VALUE!</v>
      </c>
    </row>
    <row r="135" spans="2:4" x14ac:dyDescent="0.2">
      <c r="B135" s="37" t="s">
        <v>60</v>
      </c>
      <c r="C135" s="38" t="s">
        <v>48</v>
      </c>
      <c r="D135" s="39" t="e">
        <f t="shared" si="1"/>
        <v>#VALUE!</v>
      </c>
    </row>
    <row r="136" spans="2:4" x14ac:dyDescent="0.2">
      <c r="B136" s="37" t="s">
        <v>55</v>
      </c>
      <c r="C136" s="38" t="s">
        <v>49</v>
      </c>
      <c r="D136" s="39" t="e">
        <f t="shared" ref="D136:D199" si="2">priceLookup(B136,C136)</f>
        <v>#VALUE!</v>
      </c>
    </row>
    <row r="137" spans="2:4" x14ac:dyDescent="0.2">
      <c r="B137" s="37" t="s">
        <v>60</v>
      </c>
      <c r="C137" s="38" t="s">
        <v>48</v>
      </c>
      <c r="D137" s="39" t="e">
        <f t="shared" si="2"/>
        <v>#VALUE!</v>
      </c>
    </row>
    <row r="138" spans="2:4" x14ac:dyDescent="0.2">
      <c r="B138" s="37" t="s">
        <v>62</v>
      </c>
      <c r="C138" s="38" t="s">
        <v>49</v>
      </c>
      <c r="D138" s="39" t="e">
        <f t="shared" si="2"/>
        <v>#VALUE!</v>
      </c>
    </row>
    <row r="139" spans="2:4" x14ac:dyDescent="0.2">
      <c r="B139" s="37" t="s">
        <v>56</v>
      </c>
      <c r="C139" s="38" t="s">
        <v>49</v>
      </c>
      <c r="D139" s="39" t="e">
        <f t="shared" si="2"/>
        <v>#VALUE!</v>
      </c>
    </row>
    <row r="140" spans="2:4" x14ac:dyDescent="0.2">
      <c r="B140" s="37" t="s">
        <v>51</v>
      </c>
      <c r="C140" s="38" t="s">
        <v>48</v>
      </c>
      <c r="D140" s="39" t="e">
        <f t="shared" si="2"/>
        <v>#VALUE!</v>
      </c>
    </row>
    <row r="141" spans="2:4" x14ac:dyDescent="0.2">
      <c r="B141" s="37" t="s">
        <v>63</v>
      </c>
      <c r="C141" s="38" t="s">
        <v>48</v>
      </c>
      <c r="D141" s="39" t="e">
        <f t="shared" si="2"/>
        <v>#VALUE!</v>
      </c>
    </row>
    <row r="142" spans="2:4" x14ac:dyDescent="0.2">
      <c r="B142" s="37" t="s">
        <v>60</v>
      </c>
      <c r="C142" s="38" t="s">
        <v>49</v>
      </c>
      <c r="D142" s="39" t="e">
        <f t="shared" si="2"/>
        <v>#VALUE!</v>
      </c>
    </row>
    <row r="143" spans="2:4" x14ac:dyDescent="0.2">
      <c r="B143" s="37" t="s">
        <v>60</v>
      </c>
      <c r="C143" s="38" t="s">
        <v>48</v>
      </c>
      <c r="D143" s="39" t="e">
        <f t="shared" si="2"/>
        <v>#VALUE!</v>
      </c>
    </row>
    <row r="144" spans="2:4" x14ac:dyDescent="0.2">
      <c r="B144" s="37" t="s">
        <v>63</v>
      </c>
      <c r="C144" s="38" t="s">
        <v>49</v>
      </c>
      <c r="D144" s="39" t="e">
        <f t="shared" si="2"/>
        <v>#VALUE!</v>
      </c>
    </row>
    <row r="145" spans="2:4" x14ac:dyDescent="0.2">
      <c r="B145" s="37" t="s">
        <v>60</v>
      </c>
      <c r="C145" s="38" t="s">
        <v>48</v>
      </c>
      <c r="D145" s="39" t="e">
        <f t="shared" si="2"/>
        <v>#VALUE!</v>
      </c>
    </row>
    <row r="146" spans="2:4" x14ac:dyDescent="0.2">
      <c r="B146" s="37" t="s">
        <v>57</v>
      </c>
      <c r="C146" s="38" t="s">
        <v>49</v>
      </c>
      <c r="D146" s="39" t="e">
        <f t="shared" si="2"/>
        <v>#VALUE!</v>
      </c>
    </row>
    <row r="147" spans="2:4" x14ac:dyDescent="0.2">
      <c r="B147" s="37" t="s">
        <v>59</v>
      </c>
      <c r="C147" s="38" t="s">
        <v>48</v>
      </c>
      <c r="D147" s="39" t="e">
        <f t="shared" si="2"/>
        <v>#VALUE!</v>
      </c>
    </row>
    <row r="148" spans="2:4" x14ac:dyDescent="0.2">
      <c r="B148" s="37" t="s">
        <v>61</v>
      </c>
      <c r="C148" s="38" t="s">
        <v>49</v>
      </c>
      <c r="D148" s="39" t="e">
        <f t="shared" si="2"/>
        <v>#VALUE!</v>
      </c>
    </row>
    <row r="149" spans="2:4" x14ac:dyDescent="0.2">
      <c r="B149" s="37" t="s">
        <v>60</v>
      </c>
      <c r="C149" s="38" t="s">
        <v>48</v>
      </c>
      <c r="D149" s="39" t="e">
        <f t="shared" si="2"/>
        <v>#VALUE!</v>
      </c>
    </row>
    <row r="150" spans="2:4" x14ac:dyDescent="0.2">
      <c r="B150" s="37" t="s">
        <v>60</v>
      </c>
      <c r="C150" s="38" t="s">
        <v>49</v>
      </c>
      <c r="D150" s="39" t="e">
        <f t="shared" si="2"/>
        <v>#VALUE!</v>
      </c>
    </row>
    <row r="151" spans="2:4" x14ac:dyDescent="0.2">
      <c r="B151" s="37" t="s">
        <v>56</v>
      </c>
      <c r="C151" s="38" t="s">
        <v>48</v>
      </c>
      <c r="D151" s="39" t="e">
        <f t="shared" si="2"/>
        <v>#VALUE!</v>
      </c>
    </row>
    <row r="152" spans="2:4" x14ac:dyDescent="0.2">
      <c r="B152" s="37" t="s">
        <v>56</v>
      </c>
      <c r="C152" s="38" t="s">
        <v>49</v>
      </c>
      <c r="D152" s="39" t="e">
        <f t="shared" si="2"/>
        <v>#VALUE!</v>
      </c>
    </row>
    <row r="153" spans="2:4" x14ac:dyDescent="0.2">
      <c r="B153" s="37" t="s">
        <v>52</v>
      </c>
      <c r="C153" s="38" t="s">
        <v>48</v>
      </c>
      <c r="D153" s="39" t="e">
        <f t="shared" si="2"/>
        <v>#VALUE!</v>
      </c>
    </row>
    <row r="154" spans="2:4" x14ac:dyDescent="0.2">
      <c r="B154" s="37" t="s">
        <v>63</v>
      </c>
      <c r="C154" s="38" t="s">
        <v>49</v>
      </c>
      <c r="D154" s="39" t="e">
        <f t="shared" si="2"/>
        <v>#VALUE!</v>
      </c>
    </row>
    <row r="155" spans="2:4" x14ac:dyDescent="0.2">
      <c r="B155" s="37" t="s">
        <v>61</v>
      </c>
      <c r="C155" s="38" t="s">
        <v>49</v>
      </c>
      <c r="D155" s="39" t="e">
        <f t="shared" si="2"/>
        <v>#VALUE!</v>
      </c>
    </row>
    <row r="156" spans="2:4" x14ac:dyDescent="0.2">
      <c r="B156" s="37" t="s">
        <v>62</v>
      </c>
      <c r="C156" s="38" t="s">
        <v>49</v>
      </c>
      <c r="D156" s="39" t="e">
        <f t="shared" si="2"/>
        <v>#VALUE!</v>
      </c>
    </row>
    <row r="157" spans="2:4" x14ac:dyDescent="0.2">
      <c r="B157" s="37" t="s">
        <v>57</v>
      </c>
      <c r="C157" s="38" t="s">
        <v>49</v>
      </c>
      <c r="D157" s="39" t="e">
        <f t="shared" si="2"/>
        <v>#VALUE!</v>
      </c>
    </row>
    <row r="158" spans="2:4" x14ac:dyDescent="0.2">
      <c r="B158" s="37" t="s">
        <v>63</v>
      </c>
      <c r="C158" s="38" t="s">
        <v>49</v>
      </c>
      <c r="D158" s="39" t="e">
        <f t="shared" si="2"/>
        <v>#VALUE!</v>
      </c>
    </row>
    <row r="159" spans="2:4" x14ac:dyDescent="0.2">
      <c r="B159" s="37" t="s">
        <v>63</v>
      </c>
      <c r="C159" s="38" t="s">
        <v>49</v>
      </c>
      <c r="D159" s="39" t="e">
        <f t="shared" si="2"/>
        <v>#VALUE!</v>
      </c>
    </row>
    <row r="160" spans="2:4" x14ac:dyDescent="0.2">
      <c r="B160" s="37" t="s">
        <v>61</v>
      </c>
      <c r="C160" s="38" t="s">
        <v>49</v>
      </c>
      <c r="D160" s="39" t="e">
        <f t="shared" si="2"/>
        <v>#VALUE!</v>
      </c>
    </row>
    <row r="161" spans="2:4" x14ac:dyDescent="0.2">
      <c r="B161" s="37" t="s">
        <v>54</v>
      </c>
      <c r="C161" s="38" t="s">
        <v>48</v>
      </c>
      <c r="D161" s="39" t="e">
        <f t="shared" si="2"/>
        <v>#VALUE!</v>
      </c>
    </row>
    <row r="162" spans="2:4" x14ac:dyDescent="0.2">
      <c r="B162" s="37" t="s">
        <v>52</v>
      </c>
      <c r="C162" s="38" t="s">
        <v>49</v>
      </c>
      <c r="D162" s="39" t="e">
        <f t="shared" si="2"/>
        <v>#VALUE!</v>
      </c>
    </row>
    <row r="163" spans="2:4" x14ac:dyDescent="0.2">
      <c r="B163" s="37" t="s">
        <v>62</v>
      </c>
      <c r="C163" s="38" t="s">
        <v>49</v>
      </c>
      <c r="D163" s="39" t="e">
        <f t="shared" si="2"/>
        <v>#VALUE!</v>
      </c>
    </row>
    <row r="164" spans="2:4" x14ac:dyDescent="0.2">
      <c r="B164" s="37" t="s">
        <v>60</v>
      </c>
      <c r="C164" s="38" t="s">
        <v>48</v>
      </c>
      <c r="D164" s="39" t="e">
        <f t="shared" si="2"/>
        <v>#VALUE!</v>
      </c>
    </row>
    <row r="165" spans="2:4" x14ac:dyDescent="0.2">
      <c r="B165" s="37" t="s">
        <v>60</v>
      </c>
      <c r="C165" s="38" t="s">
        <v>49</v>
      </c>
      <c r="D165" s="39" t="e">
        <f t="shared" si="2"/>
        <v>#VALUE!</v>
      </c>
    </row>
    <row r="166" spans="2:4" x14ac:dyDescent="0.2">
      <c r="B166" s="37" t="s">
        <v>63</v>
      </c>
      <c r="C166" s="38" t="s">
        <v>48</v>
      </c>
      <c r="D166" s="39" t="e">
        <f t="shared" si="2"/>
        <v>#VALUE!</v>
      </c>
    </row>
    <row r="167" spans="2:4" x14ac:dyDescent="0.2">
      <c r="B167" s="37" t="s">
        <v>60</v>
      </c>
      <c r="C167" s="38" t="s">
        <v>48</v>
      </c>
      <c r="D167" s="39" t="e">
        <f t="shared" si="2"/>
        <v>#VALUE!</v>
      </c>
    </row>
    <row r="168" spans="2:4" x14ac:dyDescent="0.2">
      <c r="B168" s="37" t="s">
        <v>54</v>
      </c>
      <c r="C168" s="38" t="s">
        <v>48</v>
      </c>
      <c r="D168" s="39" t="e">
        <f t="shared" si="2"/>
        <v>#VALUE!</v>
      </c>
    </row>
    <row r="169" spans="2:4" x14ac:dyDescent="0.2">
      <c r="B169" s="37" t="s">
        <v>62</v>
      </c>
      <c r="C169" s="38" t="s">
        <v>49</v>
      </c>
      <c r="D169" s="39" t="e">
        <f t="shared" si="2"/>
        <v>#VALUE!</v>
      </c>
    </row>
    <row r="170" spans="2:4" x14ac:dyDescent="0.2">
      <c r="B170" s="37" t="s">
        <v>61</v>
      </c>
      <c r="C170" s="38" t="s">
        <v>49</v>
      </c>
      <c r="D170" s="39" t="e">
        <f t="shared" si="2"/>
        <v>#VALUE!</v>
      </c>
    </row>
    <row r="171" spans="2:4" x14ac:dyDescent="0.2">
      <c r="B171" s="37" t="s">
        <v>55</v>
      </c>
      <c r="C171" s="38" t="s">
        <v>49</v>
      </c>
      <c r="D171" s="39" t="e">
        <f t="shared" si="2"/>
        <v>#VALUE!</v>
      </c>
    </row>
    <row r="172" spans="2:4" x14ac:dyDescent="0.2">
      <c r="B172" s="37" t="s">
        <v>57</v>
      </c>
      <c r="C172" s="38" t="s">
        <v>49</v>
      </c>
      <c r="D172" s="39" t="e">
        <f t="shared" si="2"/>
        <v>#VALUE!</v>
      </c>
    </row>
    <row r="173" spans="2:4" x14ac:dyDescent="0.2">
      <c r="B173" s="37" t="s">
        <v>60</v>
      </c>
      <c r="C173" s="38" t="s">
        <v>49</v>
      </c>
      <c r="D173" s="39" t="e">
        <f t="shared" si="2"/>
        <v>#VALUE!</v>
      </c>
    </row>
    <row r="174" spans="2:4" x14ac:dyDescent="0.2">
      <c r="B174" s="37" t="s">
        <v>63</v>
      </c>
      <c r="C174" s="38" t="s">
        <v>48</v>
      </c>
      <c r="D174" s="39" t="e">
        <f t="shared" si="2"/>
        <v>#VALUE!</v>
      </c>
    </row>
    <row r="175" spans="2:4" x14ac:dyDescent="0.2">
      <c r="B175" s="37" t="s">
        <v>57</v>
      </c>
      <c r="C175" s="38" t="s">
        <v>48</v>
      </c>
      <c r="D175" s="39" t="e">
        <f t="shared" si="2"/>
        <v>#VALUE!</v>
      </c>
    </row>
    <row r="176" spans="2:4" x14ac:dyDescent="0.2">
      <c r="B176" s="37" t="s">
        <v>63</v>
      </c>
      <c r="C176" s="38" t="s">
        <v>48</v>
      </c>
      <c r="D176" s="39" t="e">
        <f t="shared" si="2"/>
        <v>#VALUE!</v>
      </c>
    </row>
    <row r="177" spans="2:4" x14ac:dyDescent="0.2">
      <c r="B177" s="37" t="s">
        <v>62</v>
      </c>
      <c r="C177" s="38" t="s">
        <v>48</v>
      </c>
      <c r="D177" s="39" t="e">
        <f t="shared" si="2"/>
        <v>#VALUE!</v>
      </c>
    </row>
    <row r="178" spans="2:4" x14ac:dyDescent="0.2">
      <c r="B178" s="37" t="s">
        <v>61</v>
      </c>
      <c r="C178" s="38" t="s">
        <v>49</v>
      </c>
      <c r="D178" s="39" t="e">
        <f t="shared" si="2"/>
        <v>#VALUE!</v>
      </c>
    </row>
    <row r="179" spans="2:4" x14ac:dyDescent="0.2">
      <c r="B179" s="37" t="s">
        <v>54</v>
      </c>
      <c r="C179" s="38" t="s">
        <v>48</v>
      </c>
      <c r="D179" s="39" t="e">
        <f t="shared" si="2"/>
        <v>#VALUE!</v>
      </c>
    </row>
    <row r="180" spans="2:4" x14ac:dyDescent="0.2">
      <c r="B180" s="37" t="s">
        <v>54</v>
      </c>
      <c r="C180" s="38" t="s">
        <v>49</v>
      </c>
      <c r="D180" s="39" t="e">
        <f t="shared" si="2"/>
        <v>#VALUE!</v>
      </c>
    </row>
    <row r="181" spans="2:4" x14ac:dyDescent="0.2">
      <c r="B181" s="37" t="s">
        <v>54</v>
      </c>
      <c r="C181" s="38" t="s">
        <v>48</v>
      </c>
      <c r="D181" s="39" t="e">
        <f t="shared" si="2"/>
        <v>#VALUE!</v>
      </c>
    </row>
    <row r="182" spans="2:4" x14ac:dyDescent="0.2">
      <c r="B182" s="37" t="s">
        <v>57</v>
      </c>
      <c r="C182" s="38" t="s">
        <v>48</v>
      </c>
      <c r="D182" s="39" t="e">
        <f t="shared" si="2"/>
        <v>#VALUE!</v>
      </c>
    </row>
    <row r="183" spans="2:4" x14ac:dyDescent="0.2">
      <c r="B183" s="37" t="s">
        <v>60</v>
      </c>
      <c r="C183" s="38" t="s">
        <v>49</v>
      </c>
      <c r="D183" s="39" t="e">
        <f t="shared" si="2"/>
        <v>#VALUE!</v>
      </c>
    </row>
    <row r="184" spans="2:4" x14ac:dyDescent="0.2">
      <c r="B184" s="37" t="s">
        <v>62</v>
      </c>
      <c r="C184" s="38" t="s">
        <v>49</v>
      </c>
      <c r="D184" s="39" t="e">
        <f t="shared" si="2"/>
        <v>#VALUE!</v>
      </c>
    </row>
    <row r="185" spans="2:4" x14ac:dyDescent="0.2">
      <c r="B185" s="37" t="s">
        <v>60</v>
      </c>
      <c r="C185" s="38" t="s">
        <v>48</v>
      </c>
      <c r="D185" s="39" t="e">
        <f t="shared" si="2"/>
        <v>#VALUE!</v>
      </c>
    </row>
    <row r="186" spans="2:4" x14ac:dyDescent="0.2">
      <c r="B186" s="37" t="s">
        <v>60</v>
      </c>
      <c r="C186" s="38" t="s">
        <v>48</v>
      </c>
      <c r="D186" s="39" t="e">
        <f t="shared" si="2"/>
        <v>#VALUE!</v>
      </c>
    </row>
    <row r="187" spans="2:4" x14ac:dyDescent="0.2">
      <c r="B187" s="37" t="s">
        <v>60</v>
      </c>
      <c r="C187" s="38" t="s">
        <v>48</v>
      </c>
      <c r="D187" s="39" t="e">
        <f t="shared" si="2"/>
        <v>#VALUE!</v>
      </c>
    </row>
    <row r="188" spans="2:4" x14ac:dyDescent="0.2">
      <c r="B188" s="37" t="s">
        <v>57</v>
      </c>
      <c r="C188" s="38" t="s">
        <v>49</v>
      </c>
      <c r="D188" s="39" t="e">
        <f t="shared" si="2"/>
        <v>#VALUE!</v>
      </c>
    </row>
    <row r="189" spans="2:4" x14ac:dyDescent="0.2">
      <c r="B189" s="37" t="s">
        <v>53</v>
      </c>
      <c r="C189" s="38" t="s">
        <v>48</v>
      </c>
      <c r="D189" s="39" t="e">
        <f t="shared" si="2"/>
        <v>#VALUE!</v>
      </c>
    </row>
    <row r="190" spans="2:4" x14ac:dyDescent="0.2">
      <c r="B190" s="37" t="s">
        <v>60</v>
      </c>
      <c r="C190" s="38" t="s">
        <v>48</v>
      </c>
      <c r="D190" s="39" t="e">
        <f t="shared" si="2"/>
        <v>#VALUE!</v>
      </c>
    </row>
    <row r="191" spans="2:4" x14ac:dyDescent="0.2">
      <c r="B191" s="37" t="s">
        <v>61</v>
      </c>
      <c r="C191" s="38" t="s">
        <v>49</v>
      </c>
      <c r="D191" s="39" t="e">
        <f t="shared" si="2"/>
        <v>#VALUE!</v>
      </c>
    </row>
    <row r="192" spans="2:4" x14ac:dyDescent="0.2">
      <c r="B192" s="37" t="s">
        <v>58</v>
      </c>
      <c r="C192" s="38" t="s">
        <v>48</v>
      </c>
      <c r="D192" s="39" t="e">
        <f t="shared" si="2"/>
        <v>#VALUE!</v>
      </c>
    </row>
    <row r="193" spans="2:4" x14ac:dyDescent="0.2">
      <c r="B193" s="37" t="s">
        <v>62</v>
      </c>
      <c r="C193" s="38" t="s">
        <v>48</v>
      </c>
      <c r="D193" s="39" t="e">
        <f t="shared" si="2"/>
        <v>#VALUE!</v>
      </c>
    </row>
    <row r="194" spans="2:4" x14ac:dyDescent="0.2">
      <c r="B194" s="37" t="s">
        <v>60</v>
      </c>
      <c r="C194" s="38" t="s">
        <v>48</v>
      </c>
      <c r="D194" s="39" t="e">
        <f t="shared" si="2"/>
        <v>#VALUE!</v>
      </c>
    </row>
    <row r="195" spans="2:4" x14ac:dyDescent="0.2">
      <c r="B195" s="37" t="s">
        <v>61</v>
      </c>
      <c r="C195" s="38" t="s">
        <v>48</v>
      </c>
      <c r="D195" s="39" t="e">
        <f t="shared" si="2"/>
        <v>#VALUE!</v>
      </c>
    </row>
    <row r="196" spans="2:4" x14ac:dyDescent="0.2">
      <c r="B196" s="37" t="s">
        <v>61</v>
      </c>
      <c r="C196" s="38" t="s">
        <v>49</v>
      </c>
      <c r="D196" s="39" t="e">
        <f t="shared" si="2"/>
        <v>#VALUE!</v>
      </c>
    </row>
    <row r="197" spans="2:4" x14ac:dyDescent="0.2">
      <c r="B197" s="37" t="s">
        <v>57</v>
      </c>
      <c r="C197" s="38" t="s">
        <v>49</v>
      </c>
      <c r="D197" s="39" t="e">
        <f t="shared" si="2"/>
        <v>#VALUE!</v>
      </c>
    </row>
    <row r="198" spans="2:4" x14ac:dyDescent="0.2">
      <c r="B198" s="37" t="s">
        <v>60</v>
      </c>
      <c r="C198" s="38" t="s">
        <v>49</v>
      </c>
      <c r="D198" s="39" t="e">
        <f t="shared" si="2"/>
        <v>#VALUE!</v>
      </c>
    </row>
    <row r="199" spans="2:4" x14ac:dyDescent="0.2">
      <c r="B199" s="37" t="s">
        <v>60</v>
      </c>
      <c r="C199" s="38" t="s">
        <v>49</v>
      </c>
      <c r="D199" s="39" t="e">
        <f t="shared" si="2"/>
        <v>#VALUE!</v>
      </c>
    </row>
    <row r="200" spans="2:4" x14ac:dyDescent="0.2">
      <c r="B200" s="37" t="s">
        <v>64</v>
      </c>
      <c r="C200" s="38" t="s">
        <v>48</v>
      </c>
      <c r="D200" s="39" t="e">
        <f t="shared" ref="D200:D263" si="3">priceLookup(B200,C200)</f>
        <v>#VALUE!</v>
      </c>
    </row>
    <row r="201" spans="2:4" x14ac:dyDescent="0.2">
      <c r="B201" s="37" t="s">
        <v>64</v>
      </c>
      <c r="C201" s="38" t="s">
        <v>49</v>
      </c>
      <c r="D201" s="39" t="e">
        <f t="shared" si="3"/>
        <v>#VALUE!</v>
      </c>
    </row>
    <row r="202" spans="2:4" x14ac:dyDescent="0.2">
      <c r="B202" s="37" t="s">
        <v>63</v>
      </c>
      <c r="C202" s="38" t="s">
        <v>49</v>
      </c>
      <c r="D202" s="39" t="e">
        <f t="shared" si="3"/>
        <v>#VALUE!</v>
      </c>
    </row>
    <row r="203" spans="2:4" x14ac:dyDescent="0.2">
      <c r="B203" s="37" t="s">
        <v>59</v>
      </c>
      <c r="C203" s="38" t="s">
        <v>49</v>
      </c>
      <c r="D203" s="39" t="e">
        <f t="shared" si="3"/>
        <v>#VALUE!</v>
      </c>
    </row>
    <row r="204" spans="2:4" x14ac:dyDescent="0.2">
      <c r="B204" s="37" t="s">
        <v>58</v>
      </c>
      <c r="C204" s="38" t="s">
        <v>49</v>
      </c>
      <c r="D204" s="39" t="e">
        <f t="shared" si="3"/>
        <v>#VALUE!</v>
      </c>
    </row>
    <row r="205" spans="2:4" x14ac:dyDescent="0.2">
      <c r="B205" s="37" t="s">
        <v>62</v>
      </c>
      <c r="C205" s="38" t="s">
        <v>48</v>
      </c>
      <c r="D205" s="39" t="e">
        <f t="shared" si="3"/>
        <v>#VALUE!</v>
      </c>
    </row>
    <row r="206" spans="2:4" x14ac:dyDescent="0.2">
      <c r="B206" s="37" t="s">
        <v>63</v>
      </c>
      <c r="C206" s="38" t="s">
        <v>48</v>
      </c>
      <c r="D206" s="39" t="e">
        <f t="shared" si="3"/>
        <v>#VALUE!</v>
      </c>
    </row>
    <row r="207" spans="2:4" x14ac:dyDescent="0.2">
      <c r="B207" s="37" t="s">
        <v>63</v>
      </c>
      <c r="C207" s="38" t="s">
        <v>49</v>
      </c>
      <c r="D207" s="39" t="e">
        <f t="shared" si="3"/>
        <v>#VALUE!</v>
      </c>
    </row>
    <row r="208" spans="2:4" x14ac:dyDescent="0.2">
      <c r="B208" s="37" t="s">
        <v>60</v>
      </c>
      <c r="C208" s="38" t="s">
        <v>49</v>
      </c>
      <c r="D208" s="39" t="e">
        <f t="shared" si="3"/>
        <v>#VALUE!</v>
      </c>
    </row>
    <row r="209" spans="2:4" x14ac:dyDescent="0.2">
      <c r="B209" s="37" t="s">
        <v>60</v>
      </c>
      <c r="C209" s="38" t="s">
        <v>49</v>
      </c>
      <c r="D209" s="39" t="e">
        <f t="shared" si="3"/>
        <v>#VALUE!</v>
      </c>
    </row>
    <row r="210" spans="2:4" x14ac:dyDescent="0.2">
      <c r="B210" s="37" t="s">
        <v>54</v>
      </c>
      <c r="C210" s="38" t="s">
        <v>48</v>
      </c>
      <c r="D210" s="39" t="e">
        <f t="shared" si="3"/>
        <v>#VALUE!</v>
      </c>
    </row>
    <row r="211" spans="2:4" x14ac:dyDescent="0.2">
      <c r="B211" s="37" t="s">
        <v>53</v>
      </c>
      <c r="C211" s="38" t="s">
        <v>49</v>
      </c>
      <c r="D211" s="39" t="e">
        <f t="shared" si="3"/>
        <v>#VALUE!</v>
      </c>
    </row>
    <row r="212" spans="2:4" x14ac:dyDescent="0.2">
      <c r="B212" s="37" t="s">
        <v>54</v>
      </c>
      <c r="C212" s="38" t="s">
        <v>49</v>
      </c>
      <c r="D212" s="39" t="e">
        <f t="shared" si="3"/>
        <v>#VALUE!</v>
      </c>
    </row>
    <row r="213" spans="2:4" x14ac:dyDescent="0.2">
      <c r="B213" s="37" t="s">
        <v>63</v>
      </c>
      <c r="C213" s="38" t="s">
        <v>49</v>
      </c>
      <c r="D213" s="39" t="e">
        <f t="shared" si="3"/>
        <v>#VALUE!</v>
      </c>
    </row>
    <row r="214" spans="2:4" x14ac:dyDescent="0.2">
      <c r="B214" s="37" t="s">
        <v>56</v>
      </c>
      <c r="C214" s="38" t="s">
        <v>48</v>
      </c>
      <c r="D214" s="39" t="e">
        <f t="shared" si="3"/>
        <v>#VALUE!</v>
      </c>
    </row>
    <row r="215" spans="2:4" x14ac:dyDescent="0.2">
      <c r="B215" s="37" t="s">
        <v>60</v>
      </c>
      <c r="C215" s="38" t="s">
        <v>48</v>
      </c>
      <c r="D215" s="39" t="e">
        <f t="shared" si="3"/>
        <v>#VALUE!</v>
      </c>
    </row>
    <row r="216" spans="2:4" x14ac:dyDescent="0.2">
      <c r="B216" s="37" t="s">
        <v>63</v>
      </c>
      <c r="C216" s="38" t="s">
        <v>48</v>
      </c>
      <c r="D216" s="39" t="e">
        <f t="shared" si="3"/>
        <v>#VALUE!</v>
      </c>
    </row>
    <row r="217" spans="2:4" x14ac:dyDescent="0.2">
      <c r="B217" s="37" t="s">
        <v>61</v>
      </c>
      <c r="C217" s="38" t="s">
        <v>48</v>
      </c>
      <c r="D217" s="39" t="e">
        <f t="shared" si="3"/>
        <v>#VALUE!</v>
      </c>
    </row>
    <row r="218" spans="2:4" x14ac:dyDescent="0.2">
      <c r="B218" s="37" t="s">
        <v>63</v>
      </c>
      <c r="C218" s="38" t="s">
        <v>49</v>
      </c>
      <c r="D218" s="39" t="e">
        <f t="shared" si="3"/>
        <v>#VALUE!</v>
      </c>
    </row>
    <row r="219" spans="2:4" x14ac:dyDescent="0.2">
      <c r="B219" s="37" t="s">
        <v>63</v>
      </c>
      <c r="C219" s="38" t="s">
        <v>48</v>
      </c>
      <c r="D219" s="39" t="e">
        <f t="shared" si="3"/>
        <v>#VALUE!</v>
      </c>
    </row>
    <row r="220" spans="2:4" x14ac:dyDescent="0.2">
      <c r="B220" s="37" t="s">
        <v>63</v>
      </c>
      <c r="C220" s="38" t="s">
        <v>49</v>
      </c>
      <c r="D220" s="39" t="e">
        <f t="shared" si="3"/>
        <v>#VALUE!</v>
      </c>
    </row>
    <row r="221" spans="2:4" x14ac:dyDescent="0.2">
      <c r="B221" s="37" t="s">
        <v>52</v>
      </c>
      <c r="C221" s="38" t="s">
        <v>49</v>
      </c>
      <c r="D221" s="39" t="e">
        <f t="shared" si="3"/>
        <v>#VALUE!</v>
      </c>
    </row>
    <row r="222" spans="2:4" x14ac:dyDescent="0.2">
      <c r="B222" s="37" t="s">
        <v>60</v>
      </c>
      <c r="C222" s="38" t="s">
        <v>49</v>
      </c>
      <c r="D222" s="39" t="e">
        <f t="shared" si="3"/>
        <v>#VALUE!</v>
      </c>
    </row>
    <row r="223" spans="2:4" x14ac:dyDescent="0.2">
      <c r="B223" s="37" t="s">
        <v>54</v>
      </c>
      <c r="C223" s="38" t="s">
        <v>49</v>
      </c>
      <c r="D223" s="39" t="e">
        <f t="shared" si="3"/>
        <v>#VALUE!</v>
      </c>
    </row>
    <row r="224" spans="2:4" x14ac:dyDescent="0.2">
      <c r="B224" s="37" t="s">
        <v>63</v>
      </c>
      <c r="C224" s="38" t="s">
        <v>48</v>
      </c>
      <c r="D224" s="39" t="e">
        <f t="shared" si="3"/>
        <v>#VALUE!</v>
      </c>
    </row>
    <row r="225" spans="2:4" x14ac:dyDescent="0.2">
      <c r="B225" s="37" t="s">
        <v>62</v>
      </c>
      <c r="C225" s="38" t="s">
        <v>49</v>
      </c>
      <c r="D225" s="39" t="e">
        <f t="shared" si="3"/>
        <v>#VALUE!</v>
      </c>
    </row>
    <row r="226" spans="2:4" x14ac:dyDescent="0.2">
      <c r="B226" s="37" t="s">
        <v>57</v>
      </c>
      <c r="C226" s="38" t="s">
        <v>48</v>
      </c>
      <c r="D226" s="39" t="e">
        <f t="shared" si="3"/>
        <v>#VALUE!</v>
      </c>
    </row>
    <row r="227" spans="2:4" x14ac:dyDescent="0.2">
      <c r="B227" s="37" t="s">
        <v>60</v>
      </c>
      <c r="C227" s="38" t="s">
        <v>49</v>
      </c>
      <c r="D227" s="39" t="e">
        <f t="shared" si="3"/>
        <v>#VALUE!</v>
      </c>
    </row>
    <row r="228" spans="2:4" x14ac:dyDescent="0.2">
      <c r="B228" s="37" t="s">
        <v>60</v>
      </c>
      <c r="C228" s="38" t="s">
        <v>49</v>
      </c>
      <c r="D228" s="39" t="e">
        <f t="shared" si="3"/>
        <v>#VALUE!</v>
      </c>
    </row>
    <row r="229" spans="2:4" x14ac:dyDescent="0.2">
      <c r="B229" s="37" t="s">
        <v>55</v>
      </c>
      <c r="C229" s="38" t="s">
        <v>49</v>
      </c>
      <c r="D229" s="39" t="e">
        <f t="shared" si="3"/>
        <v>#VALUE!</v>
      </c>
    </row>
    <row r="230" spans="2:4" x14ac:dyDescent="0.2">
      <c r="B230" s="37" t="s">
        <v>57</v>
      </c>
      <c r="C230" s="38" t="s">
        <v>48</v>
      </c>
      <c r="D230" s="39" t="e">
        <f t="shared" si="3"/>
        <v>#VALUE!</v>
      </c>
    </row>
    <row r="231" spans="2:4" x14ac:dyDescent="0.2">
      <c r="B231" s="37" t="s">
        <v>62</v>
      </c>
      <c r="C231" s="38" t="s">
        <v>48</v>
      </c>
      <c r="D231" s="39" t="e">
        <f t="shared" si="3"/>
        <v>#VALUE!</v>
      </c>
    </row>
    <row r="232" spans="2:4" x14ac:dyDescent="0.2">
      <c r="B232" s="37" t="s">
        <v>59</v>
      </c>
      <c r="C232" s="38" t="s">
        <v>48</v>
      </c>
      <c r="D232" s="39" t="e">
        <f t="shared" si="3"/>
        <v>#VALUE!</v>
      </c>
    </row>
    <row r="233" spans="2:4" x14ac:dyDescent="0.2">
      <c r="B233" s="37" t="s">
        <v>63</v>
      </c>
      <c r="C233" s="38" t="s">
        <v>48</v>
      </c>
      <c r="D233" s="39" t="e">
        <f t="shared" si="3"/>
        <v>#VALUE!</v>
      </c>
    </row>
    <row r="234" spans="2:4" x14ac:dyDescent="0.2">
      <c r="B234" s="37" t="s">
        <v>51</v>
      </c>
      <c r="C234" s="38" t="s">
        <v>48</v>
      </c>
      <c r="D234" s="39" t="e">
        <f t="shared" si="3"/>
        <v>#VALUE!</v>
      </c>
    </row>
    <row r="235" spans="2:4" x14ac:dyDescent="0.2">
      <c r="B235" s="37" t="s">
        <v>51</v>
      </c>
      <c r="C235" s="38" t="s">
        <v>49</v>
      </c>
      <c r="D235" s="39" t="e">
        <f t="shared" si="3"/>
        <v>#VALUE!</v>
      </c>
    </row>
    <row r="236" spans="2:4" x14ac:dyDescent="0.2">
      <c r="B236" s="37" t="s">
        <v>60</v>
      </c>
      <c r="C236" s="38" t="s">
        <v>48</v>
      </c>
      <c r="D236" s="39" t="e">
        <f t="shared" si="3"/>
        <v>#VALUE!</v>
      </c>
    </row>
    <row r="237" spans="2:4" x14ac:dyDescent="0.2">
      <c r="B237" s="37" t="s">
        <v>62</v>
      </c>
      <c r="C237" s="38" t="s">
        <v>48</v>
      </c>
      <c r="D237" s="39" t="e">
        <f t="shared" si="3"/>
        <v>#VALUE!</v>
      </c>
    </row>
    <row r="238" spans="2:4" x14ac:dyDescent="0.2">
      <c r="B238" s="37" t="s">
        <v>62</v>
      </c>
      <c r="C238" s="38" t="s">
        <v>49</v>
      </c>
      <c r="D238" s="39" t="e">
        <f t="shared" si="3"/>
        <v>#VALUE!</v>
      </c>
    </row>
    <row r="239" spans="2:4" x14ac:dyDescent="0.2">
      <c r="B239" s="37" t="s">
        <v>60</v>
      </c>
      <c r="C239" s="38" t="s">
        <v>49</v>
      </c>
      <c r="D239" s="39" t="e">
        <f t="shared" si="3"/>
        <v>#VALUE!</v>
      </c>
    </row>
    <row r="240" spans="2:4" x14ac:dyDescent="0.2">
      <c r="B240" s="37" t="s">
        <v>62</v>
      </c>
      <c r="C240" s="38" t="s">
        <v>48</v>
      </c>
      <c r="D240" s="39" t="e">
        <f t="shared" si="3"/>
        <v>#VALUE!</v>
      </c>
    </row>
    <row r="241" spans="2:4" x14ac:dyDescent="0.2">
      <c r="B241" s="37" t="s">
        <v>61</v>
      </c>
      <c r="C241" s="38" t="s">
        <v>48</v>
      </c>
      <c r="D241" s="39" t="e">
        <f t="shared" si="3"/>
        <v>#VALUE!</v>
      </c>
    </row>
    <row r="242" spans="2:4" x14ac:dyDescent="0.2">
      <c r="B242" s="37" t="s">
        <v>54</v>
      </c>
      <c r="C242" s="38" t="s">
        <v>48</v>
      </c>
      <c r="D242" s="39" t="e">
        <f t="shared" si="3"/>
        <v>#VALUE!</v>
      </c>
    </row>
    <row r="243" spans="2:4" x14ac:dyDescent="0.2">
      <c r="B243" s="37" t="s">
        <v>60</v>
      </c>
      <c r="C243" s="38" t="s">
        <v>48</v>
      </c>
      <c r="D243" s="39" t="e">
        <f t="shared" si="3"/>
        <v>#VALUE!</v>
      </c>
    </row>
    <row r="244" spans="2:4" x14ac:dyDescent="0.2">
      <c r="B244" s="37" t="s">
        <v>60</v>
      </c>
      <c r="C244" s="38" t="s">
        <v>48</v>
      </c>
      <c r="D244" s="39" t="e">
        <f t="shared" si="3"/>
        <v>#VALUE!</v>
      </c>
    </row>
    <row r="245" spans="2:4" x14ac:dyDescent="0.2">
      <c r="B245" s="37" t="s">
        <v>54</v>
      </c>
      <c r="C245" s="38" t="s">
        <v>49</v>
      </c>
      <c r="D245" s="39" t="e">
        <f t="shared" si="3"/>
        <v>#VALUE!</v>
      </c>
    </row>
    <row r="246" spans="2:4" x14ac:dyDescent="0.2">
      <c r="B246" s="37" t="s">
        <v>63</v>
      </c>
      <c r="C246" s="38" t="s">
        <v>49</v>
      </c>
      <c r="D246" s="39" t="e">
        <f t="shared" si="3"/>
        <v>#VALUE!</v>
      </c>
    </row>
    <row r="247" spans="2:4" x14ac:dyDescent="0.2">
      <c r="B247" s="37" t="s">
        <v>63</v>
      </c>
      <c r="C247" s="38" t="s">
        <v>49</v>
      </c>
      <c r="D247" s="39" t="e">
        <f t="shared" si="3"/>
        <v>#VALUE!</v>
      </c>
    </row>
    <row r="248" spans="2:4" x14ac:dyDescent="0.2">
      <c r="B248" s="37" t="s">
        <v>61</v>
      </c>
      <c r="C248" s="38" t="s">
        <v>49</v>
      </c>
      <c r="D248" s="39" t="e">
        <f t="shared" si="3"/>
        <v>#VALUE!</v>
      </c>
    </row>
    <row r="249" spans="2:4" x14ac:dyDescent="0.2">
      <c r="B249" s="37" t="s">
        <v>60</v>
      </c>
      <c r="C249" s="38" t="s">
        <v>48</v>
      </c>
      <c r="D249" s="39" t="e">
        <f t="shared" si="3"/>
        <v>#VALUE!</v>
      </c>
    </row>
    <row r="250" spans="2:4" x14ac:dyDescent="0.2">
      <c r="B250" s="37" t="s">
        <v>63</v>
      </c>
      <c r="C250" s="38" t="s">
        <v>48</v>
      </c>
      <c r="D250" s="39" t="e">
        <f t="shared" si="3"/>
        <v>#VALUE!</v>
      </c>
    </row>
    <row r="251" spans="2:4" x14ac:dyDescent="0.2">
      <c r="B251" s="37" t="s">
        <v>63</v>
      </c>
      <c r="C251" s="38" t="s">
        <v>48</v>
      </c>
      <c r="D251" s="39" t="e">
        <f t="shared" si="3"/>
        <v>#VALUE!</v>
      </c>
    </row>
    <row r="252" spans="2:4" x14ac:dyDescent="0.2">
      <c r="B252" s="37" t="s">
        <v>63</v>
      </c>
      <c r="C252" s="38" t="s">
        <v>49</v>
      </c>
      <c r="D252" s="39" t="e">
        <f t="shared" si="3"/>
        <v>#VALUE!</v>
      </c>
    </row>
    <row r="253" spans="2:4" x14ac:dyDescent="0.2">
      <c r="B253" s="37" t="s">
        <v>60</v>
      </c>
      <c r="C253" s="38" t="s">
        <v>48</v>
      </c>
      <c r="D253" s="39" t="e">
        <f t="shared" si="3"/>
        <v>#VALUE!</v>
      </c>
    </row>
    <row r="254" spans="2:4" x14ac:dyDescent="0.2">
      <c r="B254" s="37" t="s">
        <v>55</v>
      </c>
      <c r="C254" s="38" t="s">
        <v>48</v>
      </c>
      <c r="D254" s="39" t="e">
        <f t="shared" si="3"/>
        <v>#VALUE!</v>
      </c>
    </row>
    <row r="255" spans="2:4" x14ac:dyDescent="0.2">
      <c r="B255" s="37" t="s">
        <v>61</v>
      </c>
      <c r="C255" s="38" t="s">
        <v>49</v>
      </c>
      <c r="D255" s="39" t="e">
        <f t="shared" si="3"/>
        <v>#VALUE!</v>
      </c>
    </row>
    <row r="256" spans="2:4" x14ac:dyDescent="0.2">
      <c r="B256" s="37" t="s">
        <v>63</v>
      </c>
      <c r="C256" s="38" t="s">
        <v>49</v>
      </c>
      <c r="D256" s="39" t="e">
        <f t="shared" si="3"/>
        <v>#VALUE!</v>
      </c>
    </row>
    <row r="257" spans="2:4" x14ac:dyDescent="0.2">
      <c r="B257" s="37" t="s">
        <v>54</v>
      </c>
      <c r="C257" s="38" t="s">
        <v>48</v>
      </c>
      <c r="D257" s="39" t="e">
        <f t="shared" si="3"/>
        <v>#VALUE!</v>
      </c>
    </row>
    <row r="258" spans="2:4" x14ac:dyDescent="0.2">
      <c r="B258" s="37" t="s">
        <v>61</v>
      </c>
      <c r="C258" s="38" t="s">
        <v>49</v>
      </c>
      <c r="D258" s="39" t="e">
        <f t="shared" si="3"/>
        <v>#VALUE!</v>
      </c>
    </row>
    <row r="259" spans="2:4" x14ac:dyDescent="0.2">
      <c r="B259" s="37" t="s">
        <v>61</v>
      </c>
      <c r="C259" s="38" t="s">
        <v>49</v>
      </c>
      <c r="D259" s="39" t="e">
        <f t="shared" si="3"/>
        <v>#VALUE!</v>
      </c>
    </row>
    <row r="260" spans="2:4" x14ac:dyDescent="0.2">
      <c r="B260" s="37" t="s">
        <v>54</v>
      </c>
      <c r="C260" s="38" t="s">
        <v>48</v>
      </c>
      <c r="D260" s="39" t="e">
        <f t="shared" si="3"/>
        <v>#VALUE!</v>
      </c>
    </row>
    <row r="261" spans="2:4" x14ac:dyDescent="0.2">
      <c r="B261" s="37" t="s">
        <v>57</v>
      </c>
      <c r="C261" s="38" t="s">
        <v>49</v>
      </c>
      <c r="D261" s="39" t="e">
        <f t="shared" si="3"/>
        <v>#VALUE!</v>
      </c>
    </row>
    <row r="262" spans="2:4" x14ac:dyDescent="0.2">
      <c r="B262" s="37" t="s">
        <v>60</v>
      </c>
      <c r="C262" s="38" t="s">
        <v>49</v>
      </c>
      <c r="D262" s="39" t="e">
        <f t="shared" si="3"/>
        <v>#VALUE!</v>
      </c>
    </row>
    <row r="263" spans="2:4" x14ac:dyDescent="0.2">
      <c r="B263" s="37" t="s">
        <v>63</v>
      </c>
      <c r="C263" s="38" t="s">
        <v>49</v>
      </c>
      <c r="D263" s="39" t="e">
        <f t="shared" si="3"/>
        <v>#VALUE!</v>
      </c>
    </row>
    <row r="264" spans="2:4" x14ac:dyDescent="0.2">
      <c r="B264" s="37" t="s">
        <v>63</v>
      </c>
      <c r="C264" s="38" t="s">
        <v>48</v>
      </c>
      <c r="D264" s="39" t="e">
        <f t="shared" ref="D264:D327" si="4">priceLookup(B264,C264)</f>
        <v>#VALUE!</v>
      </c>
    </row>
    <row r="265" spans="2:4" x14ac:dyDescent="0.2">
      <c r="B265" s="37" t="s">
        <v>57</v>
      </c>
      <c r="C265" s="38" t="s">
        <v>48</v>
      </c>
      <c r="D265" s="39" t="e">
        <f t="shared" si="4"/>
        <v>#VALUE!</v>
      </c>
    </row>
    <row r="266" spans="2:4" x14ac:dyDescent="0.2">
      <c r="B266" s="37" t="s">
        <v>63</v>
      </c>
      <c r="C266" s="38" t="s">
        <v>49</v>
      </c>
      <c r="D266" s="39" t="e">
        <f t="shared" si="4"/>
        <v>#VALUE!</v>
      </c>
    </row>
    <row r="267" spans="2:4" x14ac:dyDescent="0.2">
      <c r="B267" s="37" t="s">
        <v>61</v>
      </c>
      <c r="C267" s="38" t="s">
        <v>49</v>
      </c>
      <c r="D267" s="39" t="e">
        <f t="shared" si="4"/>
        <v>#VALUE!</v>
      </c>
    </row>
    <row r="268" spans="2:4" x14ac:dyDescent="0.2">
      <c r="B268" s="37" t="s">
        <v>60</v>
      </c>
      <c r="C268" s="38" t="s">
        <v>48</v>
      </c>
      <c r="D268" s="39" t="e">
        <f t="shared" si="4"/>
        <v>#VALUE!</v>
      </c>
    </row>
    <row r="269" spans="2:4" x14ac:dyDescent="0.2">
      <c r="B269" s="37" t="s">
        <v>56</v>
      </c>
      <c r="C269" s="38" t="s">
        <v>48</v>
      </c>
      <c r="D269" s="39" t="e">
        <f t="shared" si="4"/>
        <v>#VALUE!</v>
      </c>
    </row>
    <row r="270" spans="2:4" x14ac:dyDescent="0.2">
      <c r="B270" s="37" t="s">
        <v>52</v>
      </c>
      <c r="C270" s="38" t="s">
        <v>49</v>
      </c>
      <c r="D270" s="39" t="e">
        <f t="shared" si="4"/>
        <v>#VALUE!</v>
      </c>
    </row>
    <row r="271" spans="2:4" x14ac:dyDescent="0.2">
      <c r="B271" s="37" t="s">
        <v>62</v>
      </c>
      <c r="C271" s="38" t="s">
        <v>48</v>
      </c>
      <c r="D271" s="39" t="e">
        <f t="shared" si="4"/>
        <v>#VALUE!</v>
      </c>
    </row>
    <row r="272" spans="2:4" x14ac:dyDescent="0.2">
      <c r="B272" s="37" t="s">
        <v>54</v>
      </c>
      <c r="C272" s="38" t="s">
        <v>48</v>
      </c>
      <c r="D272" s="39" t="e">
        <f t="shared" si="4"/>
        <v>#VALUE!</v>
      </c>
    </row>
    <row r="273" spans="2:4" x14ac:dyDescent="0.2">
      <c r="B273" s="37" t="s">
        <v>61</v>
      </c>
      <c r="C273" s="38" t="s">
        <v>48</v>
      </c>
      <c r="D273" s="39" t="e">
        <f t="shared" si="4"/>
        <v>#VALUE!</v>
      </c>
    </row>
    <row r="274" spans="2:4" x14ac:dyDescent="0.2">
      <c r="B274" s="37" t="s">
        <v>60</v>
      </c>
      <c r="C274" s="38" t="s">
        <v>48</v>
      </c>
      <c r="D274" s="39" t="e">
        <f t="shared" si="4"/>
        <v>#VALUE!</v>
      </c>
    </row>
    <row r="275" spans="2:4" x14ac:dyDescent="0.2">
      <c r="B275" s="37" t="s">
        <v>53</v>
      </c>
      <c r="C275" s="38" t="s">
        <v>48</v>
      </c>
      <c r="D275" s="39" t="e">
        <f t="shared" si="4"/>
        <v>#VALUE!</v>
      </c>
    </row>
    <row r="276" spans="2:4" x14ac:dyDescent="0.2">
      <c r="B276" s="37" t="s">
        <v>52</v>
      </c>
      <c r="C276" s="38" t="s">
        <v>49</v>
      </c>
      <c r="D276" s="39" t="e">
        <f t="shared" si="4"/>
        <v>#VALUE!</v>
      </c>
    </row>
    <row r="277" spans="2:4" x14ac:dyDescent="0.2">
      <c r="B277" s="37" t="s">
        <v>61</v>
      </c>
      <c r="C277" s="38" t="s">
        <v>49</v>
      </c>
      <c r="D277" s="39" t="e">
        <f t="shared" si="4"/>
        <v>#VALUE!</v>
      </c>
    </row>
    <row r="278" spans="2:4" x14ac:dyDescent="0.2">
      <c r="B278" s="37" t="s">
        <v>57</v>
      </c>
      <c r="C278" s="38" t="s">
        <v>48</v>
      </c>
      <c r="D278" s="39" t="e">
        <f t="shared" si="4"/>
        <v>#VALUE!</v>
      </c>
    </row>
    <row r="279" spans="2:4" x14ac:dyDescent="0.2">
      <c r="B279" s="37" t="s">
        <v>61</v>
      </c>
      <c r="C279" s="38" t="s">
        <v>49</v>
      </c>
      <c r="D279" s="39" t="e">
        <f t="shared" si="4"/>
        <v>#VALUE!</v>
      </c>
    </row>
    <row r="280" spans="2:4" x14ac:dyDescent="0.2">
      <c r="B280" s="37" t="s">
        <v>63</v>
      </c>
      <c r="C280" s="38" t="s">
        <v>48</v>
      </c>
      <c r="D280" s="39" t="e">
        <f t="shared" si="4"/>
        <v>#VALUE!</v>
      </c>
    </row>
    <row r="281" spans="2:4" x14ac:dyDescent="0.2">
      <c r="B281" s="37" t="s">
        <v>62</v>
      </c>
      <c r="C281" s="38" t="s">
        <v>48</v>
      </c>
      <c r="D281" s="39" t="e">
        <f t="shared" si="4"/>
        <v>#VALUE!</v>
      </c>
    </row>
    <row r="282" spans="2:4" x14ac:dyDescent="0.2">
      <c r="B282" s="37" t="s">
        <v>61</v>
      </c>
      <c r="C282" s="38" t="s">
        <v>49</v>
      </c>
      <c r="D282" s="39" t="e">
        <f t="shared" si="4"/>
        <v>#VALUE!</v>
      </c>
    </row>
    <row r="283" spans="2:4" x14ac:dyDescent="0.2">
      <c r="B283" s="37" t="s">
        <v>64</v>
      </c>
      <c r="C283" s="38" t="s">
        <v>49</v>
      </c>
      <c r="D283" s="39" t="e">
        <f t="shared" si="4"/>
        <v>#VALUE!</v>
      </c>
    </row>
    <row r="284" spans="2:4" x14ac:dyDescent="0.2">
      <c r="B284" s="37" t="s">
        <v>54</v>
      </c>
      <c r="C284" s="38" t="s">
        <v>49</v>
      </c>
      <c r="D284" s="39" t="e">
        <f t="shared" si="4"/>
        <v>#VALUE!</v>
      </c>
    </row>
    <row r="285" spans="2:4" x14ac:dyDescent="0.2">
      <c r="B285" s="37" t="s">
        <v>54</v>
      </c>
      <c r="C285" s="38" t="s">
        <v>48</v>
      </c>
      <c r="D285" s="39" t="e">
        <f t="shared" si="4"/>
        <v>#VALUE!</v>
      </c>
    </row>
    <row r="286" spans="2:4" x14ac:dyDescent="0.2">
      <c r="B286" s="37" t="s">
        <v>64</v>
      </c>
      <c r="C286" s="38" t="s">
        <v>49</v>
      </c>
      <c r="D286" s="39" t="e">
        <f t="shared" si="4"/>
        <v>#VALUE!</v>
      </c>
    </row>
    <row r="287" spans="2:4" x14ac:dyDescent="0.2">
      <c r="B287" s="37" t="s">
        <v>60</v>
      </c>
      <c r="C287" s="38" t="s">
        <v>49</v>
      </c>
      <c r="D287" s="39" t="e">
        <f t="shared" si="4"/>
        <v>#VALUE!</v>
      </c>
    </row>
    <row r="288" spans="2:4" x14ac:dyDescent="0.2">
      <c r="B288" s="37" t="s">
        <v>60</v>
      </c>
      <c r="C288" s="38" t="s">
        <v>48</v>
      </c>
      <c r="D288" s="39" t="e">
        <f t="shared" si="4"/>
        <v>#VALUE!</v>
      </c>
    </row>
    <row r="289" spans="2:4" x14ac:dyDescent="0.2">
      <c r="B289" s="37" t="s">
        <v>60</v>
      </c>
      <c r="C289" s="38" t="s">
        <v>49</v>
      </c>
      <c r="D289" s="39" t="e">
        <f t="shared" si="4"/>
        <v>#VALUE!</v>
      </c>
    </row>
    <row r="290" spans="2:4" x14ac:dyDescent="0.2">
      <c r="B290" s="37" t="s">
        <v>57</v>
      </c>
      <c r="C290" s="38" t="s">
        <v>49</v>
      </c>
      <c r="D290" s="39" t="e">
        <f t="shared" si="4"/>
        <v>#VALUE!</v>
      </c>
    </row>
    <row r="291" spans="2:4" x14ac:dyDescent="0.2">
      <c r="B291" s="37" t="s">
        <v>60</v>
      </c>
      <c r="C291" s="38" t="s">
        <v>49</v>
      </c>
      <c r="D291" s="39" t="e">
        <f t="shared" si="4"/>
        <v>#VALUE!</v>
      </c>
    </row>
    <row r="292" spans="2:4" x14ac:dyDescent="0.2">
      <c r="B292" s="37" t="s">
        <v>57</v>
      </c>
      <c r="C292" s="38" t="s">
        <v>48</v>
      </c>
      <c r="D292" s="39" t="e">
        <f t="shared" si="4"/>
        <v>#VALUE!</v>
      </c>
    </row>
    <row r="293" spans="2:4" x14ac:dyDescent="0.2">
      <c r="B293" s="37" t="s">
        <v>60</v>
      </c>
      <c r="C293" s="38" t="s">
        <v>48</v>
      </c>
      <c r="D293" s="39" t="e">
        <f t="shared" si="4"/>
        <v>#VALUE!</v>
      </c>
    </row>
    <row r="294" spans="2:4" x14ac:dyDescent="0.2">
      <c r="B294" s="37" t="s">
        <v>54</v>
      </c>
      <c r="C294" s="38" t="s">
        <v>49</v>
      </c>
      <c r="D294" s="39" t="e">
        <f t="shared" si="4"/>
        <v>#VALUE!</v>
      </c>
    </row>
    <row r="295" spans="2:4" x14ac:dyDescent="0.2">
      <c r="B295" s="37" t="s">
        <v>60</v>
      </c>
      <c r="C295" s="38" t="s">
        <v>48</v>
      </c>
      <c r="D295" s="39" t="e">
        <f t="shared" si="4"/>
        <v>#VALUE!</v>
      </c>
    </row>
    <row r="296" spans="2:4" x14ac:dyDescent="0.2">
      <c r="B296" s="37" t="s">
        <v>60</v>
      </c>
      <c r="C296" s="38" t="s">
        <v>48</v>
      </c>
      <c r="D296" s="39" t="e">
        <f t="shared" si="4"/>
        <v>#VALUE!</v>
      </c>
    </row>
    <row r="297" spans="2:4" x14ac:dyDescent="0.2">
      <c r="B297" s="37" t="s">
        <v>55</v>
      </c>
      <c r="C297" s="38" t="s">
        <v>48</v>
      </c>
      <c r="D297" s="39" t="e">
        <f t="shared" si="4"/>
        <v>#VALUE!</v>
      </c>
    </row>
    <row r="298" spans="2:4" x14ac:dyDescent="0.2">
      <c r="B298" s="37" t="s">
        <v>54</v>
      </c>
      <c r="C298" s="38" t="s">
        <v>49</v>
      </c>
      <c r="D298" s="39" t="e">
        <f t="shared" si="4"/>
        <v>#VALUE!</v>
      </c>
    </row>
    <row r="299" spans="2:4" x14ac:dyDescent="0.2">
      <c r="B299" s="37" t="s">
        <v>60</v>
      </c>
      <c r="C299" s="38" t="s">
        <v>48</v>
      </c>
      <c r="D299" s="39" t="e">
        <f t="shared" si="4"/>
        <v>#VALUE!</v>
      </c>
    </row>
    <row r="300" spans="2:4" x14ac:dyDescent="0.2">
      <c r="B300" s="37" t="s">
        <v>60</v>
      </c>
      <c r="C300" s="38" t="s">
        <v>49</v>
      </c>
      <c r="D300" s="39" t="e">
        <f t="shared" si="4"/>
        <v>#VALUE!</v>
      </c>
    </row>
    <row r="301" spans="2:4" x14ac:dyDescent="0.2">
      <c r="B301" s="37" t="s">
        <v>63</v>
      </c>
      <c r="C301" s="38" t="s">
        <v>48</v>
      </c>
      <c r="D301" s="39" t="e">
        <f t="shared" si="4"/>
        <v>#VALUE!</v>
      </c>
    </row>
    <row r="302" spans="2:4" x14ac:dyDescent="0.2">
      <c r="B302" s="37" t="s">
        <v>52</v>
      </c>
      <c r="C302" s="38" t="s">
        <v>49</v>
      </c>
      <c r="D302" s="39" t="e">
        <f t="shared" si="4"/>
        <v>#VALUE!</v>
      </c>
    </row>
    <row r="303" spans="2:4" x14ac:dyDescent="0.2">
      <c r="B303" s="37" t="s">
        <v>61</v>
      </c>
      <c r="C303" s="38" t="s">
        <v>48</v>
      </c>
      <c r="D303" s="39" t="e">
        <f t="shared" si="4"/>
        <v>#VALUE!</v>
      </c>
    </row>
    <row r="304" spans="2:4" x14ac:dyDescent="0.2">
      <c r="B304" s="37" t="s">
        <v>52</v>
      </c>
      <c r="C304" s="38" t="s">
        <v>49</v>
      </c>
      <c r="D304" s="39" t="e">
        <f t="shared" si="4"/>
        <v>#VALUE!</v>
      </c>
    </row>
    <row r="305" spans="2:4" x14ac:dyDescent="0.2">
      <c r="B305" s="37" t="s">
        <v>63</v>
      </c>
      <c r="C305" s="38" t="s">
        <v>48</v>
      </c>
      <c r="D305" s="39" t="e">
        <f t="shared" si="4"/>
        <v>#VALUE!</v>
      </c>
    </row>
    <row r="306" spans="2:4" x14ac:dyDescent="0.2">
      <c r="B306" s="37" t="s">
        <v>63</v>
      </c>
      <c r="C306" s="38" t="s">
        <v>49</v>
      </c>
      <c r="D306" s="39" t="e">
        <f t="shared" si="4"/>
        <v>#VALUE!</v>
      </c>
    </row>
    <row r="307" spans="2:4" x14ac:dyDescent="0.2">
      <c r="B307" s="37" t="s">
        <v>64</v>
      </c>
      <c r="C307" s="38" t="s">
        <v>48</v>
      </c>
      <c r="D307" s="39" t="e">
        <f t="shared" si="4"/>
        <v>#VALUE!</v>
      </c>
    </row>
    <row r="308" spans="2:4" x14ac:dyDescent="0.2">
      <c r="B308" s="37" t="s">
        <v>63</v>
      </c>
      <c r="C308" s="38" t="s">
        <v>49</v>
      </c>
      <c r="D308" s="39" t="e">
        <f t="shared" si="4"/>
        <v>#VALUE!</v>
      </c>
    </row>
    <row r="309" spans="2:4" x14ac:dyDescent="0.2">
      <c r="B309" s="37" t="s">
        <v>52</v>
      </c>
      <c r="C309" s="38" t="s">
        <v>48</v>
      </c>
      <c r="D309" s="39" t="e">
        <f t="shared" si="4"/>
        <v>#VALUE!</v>
      </c>
    </row>
    <row r="310" spans="2:4" x14ac:dyDescent="0.2">
      <c r="B310" s="37" t="s">
        <v>60</v>
      </c>
      <c r="C310" s="38" t="s">
        <v>48</v>
      </c>
      <c r="D310" s="39" t="e">
        <f t="shared" si="4"/>
        <v>#VALUE!</v>
      </c>
    </row>
    <row r="311" spans="2:4" x14ac:dyDescent="0.2">
      <c r="B311" s="37" t="s">
        <v>62</v>
      </c>
      <c r="C311" s="38" t="s">
        <v>49</v>
      </c>
      <c r="D311" s="39" t="e">
        <f t="shared" si="4"/>
        <v>#VALUE!</v>
      </c>
    </row>
    <row r="312" spans="2:4" x14ac:dyDescent="0.2">
      <c r="B312" s="37" t="s">
        <v>63</v>
      </c>
      <c r="C312" s="38" t="s">
        <v>49</v>
      </c>
      <c r="D312" s="39" t="e">
        <f t="shared" si="4"/>
        <v>#VALUE!</v>
      </c>
    </row>
    <row r="313" spans="2:4" x14ac:dyDescent="0.2">
      <c r="B313" s="37" t="s">
        <v>59</v>
      </c>
      <c r="C313" s="38" t="s">
        <v>48</v>
      </c>
      <c r="D313" s="39" t="e">
        <f t="shared" si="4"/>
        <v>#VALUE!</v>
      </c>
    </row>
    <row r="314" spans="2:4" x14ac:dyDescent="0.2">
      <c r="B314" s="37" t="s">
        <v>53</v>
      </c>
      <c r="C314" s="38" t="s">
        <v>48</v>
      </c>
      <c r="D314" s="39" t="e">
        <f t="shared" si="4"/>
        <v>#VALUE!</v>
      </c>
    </row>
    <row r="315" spans="2:4" x14ac:dyDescent="0.2">
      <c r="B315" s="37" t="s">
        <v>63</v>
      </c>
      <c r="C315" s="38" t="s">
        <v>49</v>
      </c>
      <c r="D315" s="39" t="e">
        <f t="shared" si="4"/>
        <v>#VALUE!</v>
      </c>
    </row>
    <row r="316" spans="2:4" x14ac:dyDescent="0.2">
      <c r="B316" s="37" t="s">
        <v>54</v>
      </c>
      <c r="C316" s="38" t="s">
        <v>49</v>
      </c>
      <c r="D316" s="39" t="e">
        <f t="shared" si="4"/>
        <v>#VALUE!</v>
      </c>
    </row>
    <row r="317" spans="2:4" x14ac:dyDescent="0.2">
      <c r="B317" s="37" t="s">
        <v>60</v>
      </c>
      <c r="C317" s="38" t="s">
        <v>48</v>
      </c>
      <c r="D317" s="39" t="e">
        <f t="shared" si="4"/>
        <v>#VALUE!</v>
      </c>
    </row>
    <row r="318" spans="2:4" x14ac:dyDescent="0.2">
      <c r="B318" s="37" t="s">
        <v>64</v>
      </c>
      <c r="C318" s="38" t="s">
        <v>49</v>
      </c>
      <c r="D318" s="39" t="e">
        <f t="shared" si="4"/>
        <v>#VALUE!</v>
      </c>
    </row>
    <row r="319" spans="2:4" x14ac:dyDescent="0.2">
      <c r="B319" s="37" t="s">
        <v>63</v>
      </c>
      <c r="C319" s="38" t="s">
        <v>48</v>
      </c>
      <c r="D319" s="39" t="e">
        <f t="shared" si="4"/>
        <v>#VALUE!</v>
      </c>
    </row>
    <row r="320" spans="2:4" x14ac:dyDescent="0.2">
      <c r="B320" s="37" t="s">
        <v>54</v>
      </c>
      <c r="C320" s="38" t="s">
        <v>48</v>
      </c>
      <c r="D320" s="39" t="e">
        <f t="shared" si="4"/>
        <v>#VALUE!</v>
      </c>
    </row>
    <row r="321" spans="2:4" x14ac:dyDescent="0.2">
      <c r="B321" s="37" t="s">
        <v>62</v>
      </c>
      <c r="C321" s="38" t="s">
        <v>49</v>
      </c>
      <c r="D321" s="39" t="e">
        <f t="shared" si="4"/>
        <v>#VALUE!</v>
      </c>
    </row>
    <row r="322" spans="2:4" x14ac:dyDescent="0.2">
      <c r="B322" s="37" t="s">
        <v>58</v>
      </c>
      <c r="C322" s="38" t="s">
        <v>48</v>
      </c>
      <c r="D322" s="39" t="e">
        <f t="shared" si="4"/>
        <v>#VALUE!</v>
      </c>
    </row>
    <row r="323" spans="2:4" x14ac:dyDescent="0.2">
      <c r="B323" s="37" t="s">
        <v>64</v>
      </c>
      <c r="C323" s="38" t="s">
        <v>48</v>
      </c>
      <c r="D323" s="39" t="e">
        <f t="shared" si="4"/>
        <v>#VALUE!</v>
      </c>
    </row>
    <row r="324" spans="2:4" x14ac:dyDescent="0.2">
      <c r="B324" s="37" t="s">
        <v>60</v>
      </c>
      <c r="C324" s="38" t="s">
        <v>49</v>
      </c>
      <c r="D324" s="39" t="e">
        <f t="shared" si="4"/>
        <v>#VALUE!</v>
      </c>
    </row>
    <row r="325" spans="2:4" x14ac:dyDescent="0.2">
      <c r="B325" s="37" t="s">
        <v>62</v>
      </c>
      <c r="C325" s="38" t="s">
        <v>49</v>
      </c>
      <c r="D325" s="39" t="e">
        <f t="shared" si="4"/>
        <v>#VALUE!</v>
      </c>
    </row>
    <row r="326" spans="2:4" x14ac:dyDescent="0.2">
      <c r="B326" s="37" t="s">
        <v>57</v>
      </c>
      <c r="C326" s="38" t="s">
        <v>49</v>
      </c>
      <c r="D326" s="39" t="e">
        <f t="shared" si="4"/>
        <v>#VALUE!</v>
      </c>
    </row>
    <row r="327" spans="2:4" x14ac:dyDescent="0.2">
      <c r="B327" s="37" t="s">
        <v>57</v>
      </c>
      <c r="C327" s="38" t="s">
        <v>49</v>
      </c>
      <c r="D327" s="39" t="e">
        <f t="shared" si="4"/>
        <v>#VALUE!</v>
      </c>
    </row>
    <row r="328" spans="2:4" x14ac:dyDescent="0.2">
      <c r="B328" s="37" t="s">
        <v>62</v>
      </c>
      <c r="C328" s="38" t="s">
        <v>48</v>
      </c>
      <c r="D328" s="39" t="e">
        <f t="shared" ref="D328:D391" si="5">priceLookup(B328,C328)</f>
        <v>#VALUE!</v>
      </c>
    </row>
    <row r="329" spans="2:4" x14ac:dyDescent="0.2">
      <c r="B329" s="37" t="s">
        <v>60</v>
      </c>
      <c r="C329" s="38" t="s">
        <v>48</v>
      </c>
      <c r="D329" s="39" t="e">
        <f t="shared" si="5"/>
        <v>#VALUE!</v>
      </c>
    </row>
    <row r="330" spans="2:4" x14ac:dyDescent="0.2">
      <c r="B330" s="37" t="s">
        <v>54</v>
      </c>
      <c r="C330" s="38" t="s">
        <v>49</v>
      </c>
      <c r="D330" s="39" t="e">
        <f t="shared" si="5"/>
        <v>#VALUE!</v>
      </c>
    </row>
    <row r="331" spans="2:4" x14ac:dyDescent="0.2">
      <c r="B331" s="37" t="s">
        <v>62</v>
      </c>
      <c r="C331" s="38" t="s">
        <v>48</v>
      </c>
      <c r="D331" s="39" t="e">
        <f t="shared" si="5"/>
        <v>#VALUE!</v>
      </c>
    </row>
    <row r="332" spans="2:4" x14ac:dyDescent="0.2">
      <c r="B332" s="37" t="s">
        <v>62</v>
      </c>
      <c r="C332" s="38" t="s">
        <v>48</v>
      </c>
      <c r="D332" s="39" t="e">
        <f t="shared" si="5"/>
        <v>#VALUE!</v>
      </c>
    </row>
    <row r="333" spans="2:4" x14ac:dyDescent="0.2">
      <c r="B333" s="37" t="s">
        <v>60</v>
      </c>
      <c r="C333" s="38" t="s">
        <v>48</v>
      </c>
      <c r="D333" s="39" t="e">
        <f t="shared" si="5"/>
        <v>#VALUE!</v>
      </c>
    </row>
    <row r="334" spans="2:4" x14ac:dyDescent="0.2">
      <c r="B334" s="37" t="s">
        <v>63</v>
      </c>
      <c r="C334" s="38" t="s">
        <v>49</v>
      </c>
      <c r="D334" s="39" t="e">
        <f t="shared" si="5"/>
        <v>#VALUE!</v>
      </c>
    </row>
    <row r="335" spans="2:4" x14ac:dyDescent="0.2">
      <c r="B335" s="37" t="s">
        <v>60</v>
      </c>
      <c r="C335" s="38" t="s">
        <v>48</v>
      </c>
      <c r="D335" s="39" t="e">
        <f t="shared" si="5"/>
        <v>#VALUE!</v>
      </c>
    </row>
    <row r="336" spans="2:4" x14ac:dyDescent="0.2">
      <c r="B336" s="37" t="s">
        <v>52</v>
      </c>
      <c r="C336" s="38" t="s">
        <v>49</v>
      </c>
      <c r="D336" s="39" t="e">
        <f t="shared" si="5"/>
        <v>#VALUE!</v>
      </c>
    </row>
    <row r="337" spans="2:4" x14ac:dyDescent="0.2">
      <c r="B337" s="37" t="s">
        <v>54</v>
      </c>
      <c r="C337" s="38" t="s">
        <v>48</v>
      </c>
      <c r="D337" s="39" t="e">
        <f t="shared" si="5"/>
        <v>#VALUE!</v>
      </c>
    </row>
    <row r="338" spans="2:4" x14ac:dyDescent="0.2">
      <c r="B338" s="37" t="s">
        <v>63</v>
      </c>
      <c r="C338" s="38" t="s">
        <v>49</v>
      </c>
      <c r="D338" s="39" t="e">
        <f t="shared" si="5"/>
        <v>#VALUE!</v>
      </c>
    </row>
    <row r="339" spans="2:4" x14ac:dyDescent="0.2">
      <c r="B339" s="37" t="s">
        <v>52</v>
      </c>
      <c r="C339" s="38" t="s">
        <v>49</v>
      </c>
      <c r="D339" s="39" t="e">
        <f t="shared" si="5"/>
        <v>#VALUE!</v>
      </c>
    </row>
    <row r="340" spans="2:4" x14ac:dyDescent="0.2">
      <c r="B340" s="37" t="s">
        <v>52</v>
      </c>
      <c r="C340" s="38" t="s">
        <v>49</v>
      </c>
      <c r="D340" s="39" t="e">
        <f t="shared" si="5"/>
        <v>#VALUE!</v>
      </c>
    </row>
    <row r="341" spans="2:4" x14ac:dyDescent="0.2">
      <c r="B341" s="37" t="s">
        <v>62</v>
      </c>
      <c r="C341" s="38" t="s">
        <v>49</v>
      </c>
      <c r="D341" s="39" t="e">
        <f t="shared" si="5"/>
        <v>#VALUE!</v>
      </c>
    </row>
    <row r="342" spans="2:4" x14ac:dyDescent="0.2">
      <c r="B342" s="37" t="s">
        <v>60</v>
      </c>
      <c r="C342" s="38" t="s">
        <v>49</v>
      </c>
      <c r="D342" s="39" t="e">
        <f t="shared" si="5"/>
        <v>#VALUE!</v>
      </c>
    </row>
    <row r="343" spans="2:4" x14ac:dyDescent="0.2">
      <c r="B343" s="37" t="s">
        <v>57</v>
      </c>
      <c r="C343" s="38" t="s">
        <v>48</v>
      </c>
      <c r="D343" s="39" t="e">
        <f t="shared" si="5"/>
        <v>#VALUE!</v>
      </c>
    </row>
    <row r="344" spans="2:4" x14ac:dyDescent="0.2">
      <c r="B344" s="37" t="s">
        <v>61</v>
      </c>
      <c r="C344" s="38" t="s">
        <v>48</v>
      </c>
      <c r="D344" s="39" t="e">
        <f t="shared" si="5"/>
        <v>#VALUE!</v>
      </c>
    </row>
    <row r="345" spans="2:4" x14ac:dyDescent="0.2">
      <c r="B345" s="37" t="s">
        <v>51</v>
      </c>
      <c r="C345" s="38" t="s">
        <v>49</v>
      </c>
      <c r="D345" s="39" t="e">
        <f t="shared" si="5"/>
        <v>#VALUE!</v>
      </c>
    </row>
    <row r="346" spans="2:4" x14ac:dyDescent="0.2">
      <c r="B346" s="37" t="s">
        <v>63</v>
      </c>
      <c r="C346" s="38" t="s">
        <v>48</v>
      </c>
      <c r="D346" s="39" t="e">
        <f t="shared" si="5"/>
        <v>#VALUE!</v>
      </c>
    </row>
    <row r="347" spans="2:4" x14ac:dyDescent="0.2">
      <c r="B347" s="37" t="s">
        <v>63</v>
      </c>
      <c r="C347" s="38" t="s">
        <v>49</v>
      </c>
      <c r="D347" s="39" t="e">
        <f t="shared" si="5"/>
        <v>#VALUE!</v>
      </c>
    </row>
    <row r="348" spans="2:4" x14ac:dyDescent="0.2">
      <c r="B348" s="37" t="s">
        <v>54</v>
      </c>
      <c r="C348" s="38" t="s">
        <v>49</v>
      </c>
      <c r="D348" s="39" t="e">
        <f t="shared" si="5"/>
        <v>#VALUE!</v>
      </c>
    </row>
    <row r="349" spans="2:4" x14ac:dyDescent="0.2">
      <c r="B349" s="37" t="s">
        <v>63</v>
      </c>
      <c r="C349" s="38" t="s">
        <v>49</v>
      </c>
      <c r="D349" s="39" t="e">
        <f t="shared" si="5"/>
        <v>#VALUE!</v>
      </c>
    </row>
    <row r="350" spans="2:4" x14ac:dyDescent="0.2">
      <c r="B350" s="37" t="s">
        <v>62</v>
      </c>
      <c r="C350" s="38" t="s">
        <v>49</v>
      </c>
      <c r="D350" s="39" t="e">
        <f t="shared" si="5"/>
        <v>#VALUE!</v>
      </c>
    </row>
    <row r="351" spans="2:4" x14ac:dyDescent="0.2">
      <c r="B351" s="37" t="s">
        <v>63</v>
      </c>
      <c r="C351" s="38" t="s">
        <v>48</v>
      </c>
      <c r="D351" s="39" t="e">
        <f t="shared" si="5"/>
        <v>#VALUE!</v>
      </c>
    </row>
    <row r="352" spans="2:4" x14ac:dyDescent="0.2">
      <c r="B352" s="37" t="s">
        <v>60</v>
      </c>
      <c r="C352" s="38" t="s">
        <v>48</v>
      </c>
      <c r="D352" s="39" t="e">
        <f t="shared" si="5"/>
        <v>#VALUE!</v>
      </c>
    </row>
    <row r="353" spans="2:4" x14ac:dyDescent="0.2">
      <c r="B353" s="37" t="s">
        <v>60</v>
      </c>
      <c r="C353" s="38" t="s">
        <v>49</v>
      </c>
      <c r="D353" s="39" t="e">
        <f t="shared" si="5"/>
        <v>#VALUE!</v>
      </c>
    </row>
    <row r="354" spans="2:4" x14ac:dyDescent="0.2">
      <c r="B354" s="37" t="s">
        <v>57</v>
      </c>
      <c r="C354" s="38" t="s">
        <v>49</v>
      </c>
      <c r="D354" s="39" t="e">
        <f t="shared" si="5"/>
        <v>#VALUE!</v>
      </c>
    </row>
    <row r="355" spans="2:4" x14ac:dyDescent="0.2">
      <c r="B355" s="37" t="s">
        <v>63</v>
      </c>
      <c r="C355" s="38" t="s">
        <v>49</v>
      </c>
      <c r="D355" s="39" t="e">
        <f t="shared" si="5"/>
        <v>#VALUE!</v>
      </c>
    </row>
    <row r="356" spans="2:4" x14ac:dyDescent="0.2">
      <c r="B356" s="37" t="s">
        <v>64</v>
      </c>
      <c r="C356" s="38" t="s">
        <v>49</v>
      </c>
      <c r="D356" s="39" t="e">
        <f t="shared" si="5"/>
        <v>#VALUE!</v>
      </c>
    </row>
    <row r="357" spans="2:4" x14ac:dyDescent="0.2">
      <c r="B357" s="37" t="s">
        <v>57</v>
      </c>
      <c r="C357" s="38" t="s">
        <v>49</v>
      </c>
      <c r="D357" s="39" t="e">
        <f t="shared" si="5"/>
        <v>#VALUE!</v>
      </c>
    </row>
    <row r="358" spans="2:4" x14ac:dyDescent="0.2">
      <c r="B358" s="37" t="s">
        <v>60</v>
      </c>
      <c r="C358" s="38" t="s">
        <v>49</v>
      </c>
      <c r="D358" s="39" t="e">
        <f t="shared" si="5"/>
        <v>#VALUE!</v>
      </c>
    </row>
    <row r="359" spans="2:4" x14ac:dyDescent="0.2">
      <c r="B359" s="37" t="s">
        <v>60</v>
      </c>
      <c r="C359" s="38" t="s">
        <v>48</v>
      </c>
      <c r="D359" s="39" t="e">
        <f t="shared" si="5"/>
        <v>#VALUE!</v>
      </c>
    </row>
    <row r="360" spans="2:4" x14ac:dyDescent="0.2">
      <c r="B360" s="37" t="s">
        <v>62</v>
      </c>
      <c r="C360" s="38" t="s">
        <v>49</v>
      </c>
      <c r="D360" s="39" t="e">
        <f t="shared" si="5"/>
        <v>#VALUE!</v>
      </c>
    </row>
    <row r="361" spans="2:4" x14ac:dyDescent="0.2">
      <c r="B361" s="37" t="s">
        <v>60</v>
      </c>
      <c r="C361" s="38" t="s">
        <v>49</v>
      </c>
      <c r="D361" s="39" t="e">
        <f t="shared" si="5"/>
        <v>#VALUE!</v>
      </c>
    </row>
    <row r="362" spans="2:4" x14ac:dyDescent="0.2">
      <c r="B362" s="37" t="s">
        <v>56</v>
      </c>
      <c r="C362" s="38" t="s">
        <v>48</v>
      </c>
      <c r="D362" s="39" t="e">
        <f t="shared" si="5"/>
        <v>#VALUE!</v>
      </c>
    </row>
    <row r="363" spans="2:4" x14ac:dyDescent="0.2">
      <c r="B363" s="37" t="s">
        <v>63</v>
      </c>
      <c r="C363" s="38" t="s">
        <v>48</v>
      </c>
      <c r="D363" s="39" t="e">
        <f t="shared" si="5"/>
        <v>#VALUE!</v>
      </c>
    </row>
    <row r="364" spans="2:4" x14ac:dyDescent="0.2">
      <c r="B364" s="37" t="s">
        <v>63</v>
      </c>
      <c r="C364" s="38" t="s">
        <v>48</v>
      </c>
      <c r="D364" s="39" t="e">
        <f t="shared" si="5"/>
        <v>#VALUE!</v>
      </c>
    </row>
    <row r="365" spans="2:4" x14ac:dyDescent="0.2">
      <c r="B365" s="37" t="s">
        <v>63</v>
      </c>
      <c r="C365" s="38" t="s">
        <v>48</v>
      </c>
      <c r="D365" s="39" t="e">
        <f t="shared" si="5"/>
        <v>#VALUE!</v>
      </c>
    </row>
    <row r="366" spans="2:4" x14ac:dyDescent="0.2">
      <c r="B366" s="37" t="s">
        <v>63</v>
      </c>
      <c r="C366" s="38" t="s">
        <v>48</v>
      </c>
      <c r="D366" s="39" t="e">
        <f t="shared" si="5"/>
        <v>#VALUE!</v>
      </c>
    </row>
    <row r="367" spans="2:4" x14ac:dyDescent="0.2">
      <c r="B367" s="37" t="s">
        <v>52</v>
      </c>
      <c r="C367" s="38" t="s">
        <v>49</v>
      </c>
      <c r="D367" s="39" t="e">
        <f t="shared" si="5"/>
        <v>#VALUE!</v>
      </c>
    </row>
    <row r="368" spans="2:4" x14ac:dyDescent="0.2">
      <c r="B368" s="37" t="s">
        <v>63</v>
      </c>
      <c r="C368" s="38" t="s">
        <v>48</v>
      </c>
      <c r="D368" s="39" t="e">
        <f t="shared" si="5"/>
        <v>#VALUE!</v>
      </c>
    </row>
    <row r="369" spans="2:4" x14ac:dyDescent="0.2">
      <c r="B369" s="37" t="s">
        <v>63</v>
      </c>
      <c r="C369" s="38" t="s">
        <v>48</v>
      </c>
      <c r="D369" s="39" t="e">
        <f t="shared" si="5"/>
        <v>#VALUE!</v>
      </c>
    </row>
    <row r="370" spans="2:4" x14ac:dyDescent="0.2">
      <c r="B370" s="37" t="s">
        <v>63</v>
      </c>
      <c r="C370" s="38" t="s">
        <v>49</v>
      </c>
      <c r="D370" s="39" t="e">
        <f t="shared" si="5"/>
        <v>#VALUE!</v>
      </c>
    </row>
    <row r="371" spans="2:4" x14ac:dyDescent="0.2">
      <c r="B371" s="37" t="s">
        <v>63</v>
      </c>
      <c r="C371" s="38" t="s">
        <v>49</v>
      </c>
      <c r="D371" s="39" t="e">
        <f t="shared" si="5"/>
        <v>#VALUE!</v>
      </c>
    </row>
    <row r="372" spans="2:4" x14ac:dyDescent="0.2">
      <c r="B372" s="37" t="s">
        <v>54</v>
      </c>
      <c r="C372" s="38" t="s">
        <v>49</v>
      </c>
      <c r="D372" s="39" t="e">
        <f t="shared" si="5"/>
        <v>#VALUE!</v>
      </c>
    </row>
    <row r="373" spans="2:4" x14ac:dyDescent="0.2">
      <c r="B373" s="37" t="s">
        <v>57</v>
      </c>
      <c r="C373" s="38" t="s">
        <v>49</v>
      </c>
      <c r="D373" s="39" t="e">
        <f t="shared" si="5"/>
        <v>#VALUE!</v>
      </c>
    </row>
    <row r="374" spans="2:4" x14ac:dyDescent="0.2">
      <c r="B374" s="37" t="s">
        <v>60</v>
      </c>
      <c r="C374" s="38" t="s">
        <v>48</v>
      </c>
      <c r="D374" s="39" t="e">
        <f t="shared" si="5"/>
        <v>#VALUE!</v>
      </c>
    </row>
    <row r="375" spans="2:4" x14ac:dyDescent="0.2">
      <c r="B375" s="37" t="s">
        <v>54</v>
      </c>
      <c r="C375" s="38" t="s">
        <v>48</v>
      </c>
      <c r="D375" s="39" t="e">
        <f t="shared" si="5"/>
        <v>#VALUE!</v>
      </c>
    </row>
    <row r="376" spans="2:4" x14ac:dyDescent="0.2">
      <c r="B376" s="37" t="s">
        <v>60</v>
      </c>
      <c r="C376" s="38" t="s">
        <v>48</v>
      </c>
      <c r="D376" s="39" t="e">
        <f t="shared" si="5"/>
        <v>#VALUE!</v>
      </c>
    </row>
    <row r="377" spans="2:4" x14ac:dyDescent="0.2">
      <c r="B377" s="37" t="s">
        <v>62</v>
      </c>
      <c r="C377" s="38" t="s">
        <v>49</v>
      </c>
      <c r="D377" s="39" t="e">
        <f t="shared" si="5"/>
        <v>#VALUE!</v>
      </c>
    </row>
    <row r="378" spans="2:4" x14ac:dyDescent="0.2">
      <c r="B378" s="37" t="s">
        <v>56</v>
      </c>
      <c r="C378" s="38" t="s">
        <v>48</v>
      </c>
      <c r="D378" s="39" t="e">
        <f t="shared" si="5"/>
        <v>#VALUE!</v>
      </c>
    </row>
    <row r="379" spans="2:4" x14ac:dyDescent="0.2">
      <c r="B379" s="37" t="s">
        <v>60</v>
      </c>
      <c r="C379" s="38" t="s">
        <v>48</v>
      </c>
      <c r="D379" s="39" t="e">
        <f t="shared" si="5"/>
        <v>#VALUE!</v>
      </c>
    </row>
    <row r="380" spans="2:4" x14ac:dyDescent="0.2">
      <c r="B380" s="37" t="s">
        <v>54</v>
      </c>
      <c r="C380" s="38" t="s">
        <v>48</v>
      </c>
      <c r="D380" s="39" t="e">
        <f t="shared" si="5"/>
        <v>#VALUE!</v>
      </c>
    </row>
    <row r="381" spans="2:4" x14ac:dyDescent="0.2">
      <c r="B381" s="37" t="s">
        <v>52</v>
      </c>
      <c r="C381" s="38" t="s">
        <v>48</v>
      </c>
      <c r="D381" s="39" t="e">
        <f t="shared" si="5"/>
        <v>#VALUE!</v>
      </c>
    </row>
    <row r="382" spans="2:4" x14ac:dyDescent="0.2">
      <c r="B382" s="37" t="s">
        <v>54</v>
      </c>
      <c r="C382" s="38" t="s">
        <v>49</v>
      </c>
      <c r="D382" s="39" t="e">
        <f t="shared" si="5"/>
        <v>#VALUE!</v>
      </c>
    </row>
    <row r="383" spans="2:4" x14ac:dyDescent="0.2">
      <c r="B383" s="37" t="s">
        <v>63</v>
      </c>
      <c r="C383" s="38" t="s">
        <v>48</v>
      </c>
      <c r="D383" s="39" t="e">
        <f t="shared" si="5"/>
        <v>#VALUE!</v>
      </c>
    </row>
    <row r="384" spans="2:4" x14ac:dyDescent="0.2">
      <c r="B384" s="37" t="s">
        <v>61</v>
      </c>
      <c r="C384" s="38" t="s">
        <v>49</v>
      </c>
      <c r="D384" s="39" t="e">
        <f t="shared" si="5"/>
        <v>#VALUE!</v>
      </c>
    </row>
    <row r="385" spans="2:4" x14ac:dyDescent="0.2">
      <c r="B385" s="37" t="s">
        <v>62</v>
      </c>
      <c r="C385" s="38" t="s">
        <v>48</v>
      </c>
      <c r="D385" s="39" t="e">
        <f t="shared" si="5"/>
        <v>#VALUE!</v>
      </c>
    </row>
    <row r="386" spans="2:4" x14ac:dyDescent="0.2">
      <c r="B386" s="37" t="s">
        <v>63</v>
      </c>
      <c r="C386" s="38" t="s">
        <v>49</v>
      </c>
      <c r="D386" s="39" t="e">
        <f t="shared" si="5"/>
        <v>#VALUE!</v>
      </c>
    </row>
    <row r="387" spans="2:4" x14ac:dyDescent="0.2">
      <c r="B387" s="37" t="s">
        <v>63</v>
      </c>
      <c r="C387" s="38" t="s">
        <v>49</v>
      </c>
      <c r="D387" s="39" t="e">
        <f t="shared" si="5"/>
        <v>#VALUE!</v>
      </c>
    </row>
    <row r="388" spans="2:4" x14ac:dyDescent="0.2">
      <c r="B388" s="37" t="s">
        <v>61</v>
      </c>
      <c r="C388" s="38" t="s">
        <v>49</v>
      </c>
      <c r="D388" s="39" t="e">
        <f t="shared" si="5"/>
        <v>#VALUE!</v>
      </c>
    </row>
    <row r="389" spans="2:4" x14ac:dyDescent="0.2">
      <c r="B389" s="37" t="s">
        <v>63</v>
      </c>
      <c r="C389" s="38" t="s">
        <v>49</v>
      </c>
      <c r="D389" s="39" t="e">
        <f t="shared" si="5"/>
        <v>#VALUE!</v>
      </c>
    </row>
    <row r="390" spans="2:4" x14ac:dyDescent="0.2">
      <c r="B390" s="37" t="s">
        <v>64</v>
      </c>
      <c r="C390" s="38" t="s">
        <v>48</v>
      </c>
      <c r="D390" s="39" t="e">
        <f t="shared" si="5"/>
        <v>#VALUE!</v>
      </c>
    </row>
    <row r="391" spans="2:4" x14ac:dyDescent="0.2">
      <c r="B391" s="37" t="s">
        <v>59</v>
      </c>
      <c r="C391" s="38" t="s">
        <v>48</v>
      </c>
      <c r="D391" s="39" t="e">
        <f t="shared" si="5"/>
        <v>#VALUE!</v>
      </c>
    </row>
    <row r="392" spans="2:4" x14ac:dyDescent="0.2">
      <c r="B392" s="37" t="s">
        <v>57</v>
      </c>
      <c r="C392" s="38" t="s">
        <v>49</v>
      </c>
      <c r="D392" s="39" t="e">
        <f t="shared" ref="D392:D455" si="6">priceLookup(B392,C392)</f>
        <v>#VALUE!</v>
      </c>
    </row>
    <row r="393" spans="2:4" x14ac:dyDescent="0.2">
      <c r="B393" s="37" t="s">
        <v>54</v>
      </c>
      <c r="C393" s="38" t="s">
        <v>49</v>
      </c>
      <c r="D393" s="39" t="e">
        <f t="shared" si="6"/>
        <v>#VALUE!</v>
      </c>
    </row>
    <row r="394" spans="2:4" x14ac:dyDescent="0.2">
      <c r="B394" s="37" t="s">
        <v>62</v>
      </c>
      <c r="C394" s="38" t="s">
        <v>49</v>
      </c>
      <c r="D394" s="39" t="e">
        <f t="shared" si="6"/>
        <v>#VALUE!</v>
      </c>
    </row>
    <row r="395" spans="2:4" x14ac:dyDescent="0.2">
      <c r="B395" s="37" t="s">
        <v>56</v>
      </c>
      <c r="C395" s="38" t="s">
        <v>49</v>
      </c>
      <c r="D395" s="39" t="e">
        <f t="shared" si="6"/>
        <v>#VALUE!</v>
      </c>
    </row>
    <row r="396" spans="2:4" x14ac:dyDescent="0.2">
      <c r="B396" s="37" t="s">
        <v>61</v>
      </c>
      <c r="C396" s="38" t="s">
        <v>49</v>
      </c>
      <c r="D396" s="39" t="e">
        <f t="shared" si="6"/>
        <v>#VALUE!</v>
      </c>
    </row>
    <row r="397" spans="2:4" x14ac:dyDescent="0.2">
      <c r="B397" s="37" t="s">
        <v>60</v>
      </c>
      <c r="C397" s="38" t="s">
        <v>49</v>
      </c>
      <c r="D397" s="39" t="e">
        <f t="shared" si="6"/>
        <v>#VALUE!</v>
      </c>
    </row>
    <row r="398" spans="2:4" x14ac:dyDescent="0.2">
      <c r="B398" s="37" t="s">
        <v>52</v>
      </c>
      <c r="C398" s="38" t="s">
        <v>48</v>
      </c>
      <c r="D398" s="39" t="e">
        <f t="shared" si="6"/>
        <v>#VALUE!</v>
      </c>
    </row>
    <row r="399" spans="2:4" x14ac:dyDescent="0.2">
      <c r="B399" s="37" t="s">
        <v>52</v>
      </c>
      <c r="C399" s="38" t="s">
        <v>48</v>
      </c>
      <c r="D399" s="39" t="e">
        <f t="shared" si="6"/>
        <v>#VALUE!</v>
      </c>
    </row>
    <row r="400" spans="2:4" x14ac:dyDescent="0.2">
      <c r="B400" s="37" t="s">
        <v>54</v>
      </c>
      <c r="C400" s="38" t="s">
        <v>49</v>
      </c>
      <c r="D400" s="39" t="e">
        <f t="shared" si="6"/>
        <v>#VALUE!</v>
      </c>
    </row>
    <row r="401" spans="2:4" x14ac:dyDescent="0.2">
      <c r="B401" s="37" t="s">
        <v>56</v>
      </c>
      <c r="C401" s="38" t="s">
        <v>48</v>
      </c>
      <c r="D401" s="39" t="e">
        <f t="shared" si="6"/>
        <v>#VALUE!</v>
      </c>
    </row>
    <row r="402" spans="2:4" x14ac:dyDescent="0.2">
      <c r="B402" s="37" t="s">
        <v>57</v>
      </c>
      <c r="C402" s="38" t="s">
        <v>49</v>
      </c>
      <c r="D402" s="39" t="e">
        <f t="shared" si="6"/>
        <v>#VALUE!</v>
      </c>
    </row>
    <row r="403" spans="2:4" x14ac:dyDescent="0.2">
      <c r="B403" s="37" t="s">
        <v>60</v>
      </c>
      <c r="C403" s="38" t="s">
        <v>49</v>
      </c>
      <c r="D403" s="39" t="e">
        <f t="shared" si="6"/>
        <v>#VALUE!</v>
      </c>
    </row>
    <row r="404" spans="2:4" x14ac:dyDescent="0.2">
      <c r="B404" s="37" t="s">
        <v>56</v>
      </c>
      <c r="C404" s="38" t="s">
        <v>49</v>
      </c>
      <c r="D404" s="39" t="e">
        <f t="shared" si="6"/>
        <v>#VALUE!</v>
      </c>
    </row>
    <row r="405" spans="2:4" x14ac:dyDescent="0.2">
      <c r="B405" s="37" t="s">
        <v>54</v>
      </c>
      <c r="C405" s="38" t="s">
        <v>49</v>
      </c>
      <c r="D405" s="39" t="e">
        <f t="shared" si="6"/>
        <v>#VALUE!</v>
      </c>
    </row>
    <row r="406" spans="2:4" x14ac:dyDescent="0.2">
      <c r="B406" s="37" t="s">
        <v>62</v>
      </c>
      <c r="C406" s="38" t="s">
        <v>48</v>
      </c>
      <c r="D406" s="39" t="e">
        <f t="shared" si="6"/>
        <v>#VALUE!</v>
      </c>
    </row>
    <row r="407" spans="2:4" x14ac:dyDescent="0.2">
      <c r="B407" s="37" t="s">
        <v>56</v>
      </c>
      <c r="C407" s="38" t="s">
        <v>49</v>
      </c>
      <c r="D407" s="39" t="e">
        <f t="shared" si="6"/>
        <v>#VALUE!</v>
      </c>
    </row>
    <row r="408" spans="2:4" x14ac:dyDescent="0.2">
      <c r="B408" s="37" t="s">
        <v>54</v>
      </c>
      <c r="C408" s="38" t="s">
        <v>49</v>
      </c>
      <c r="D408" s="39" t="e">
        <f t="shared" si="6"/>
        <v>#VALUE!</v>
      </c>
    </row>
    <row r="409" spans="2:4" x14ac:dyDescent="0.2">
      <c r="B409" s="37" t="s">
        <v>63</v>
      </c>
      <c r="C409" s="38" t="s">
        <v>49</v>
      </c>
      <c r="D409" s="39" t="e">
        <f t="shared" si="6"/>
        <v>#VALUE!</v>
      </c>
    </row>
    <row r="410" spans="2:4" x14ac:dyDescent="0.2">
      <c r="B410" s="37" t="s">
        <v>57</v>
      </c>
      <c r="C410" s="38" t="s">
        <v>49</v>
      </c>
      <c r="D410" s="39" t="e">
        <f t="shared" si="6"/>
        <v>#VALUE!</v>
      </c>
    </row>
    <row r="411" spans="2:4" x14ac:dyDescent="0.2">
      <c r="B411" s="37" t="s">
        <v>55</v>
      </c>
      <c r="C411" s="38" t="s">
        <v>48</v>
      </c>
      <c r="D411" s="39" t="e">
        <f t="shared" si="6"/>
        <v>#VALUE!</v>
      </c>
    </row>
    <row r="412" spans="2:4" x14ac:dyDescent="0.2">
      <c r="B412" s="37" t="s">
        <v>63</v>
      </c>
      <c r="C412" s="38" t="s">
        <v>48</v>
      </c>
      <c r="D412" s="39" t="e">
        <f t="shared" si="6"/>
        <v>#VALUE!</v>
      </c>
    </row>
    <row r="413" spans="2:4" x14ac:dyDescent="0.2">
      <c r="B413" s="37" t="s">
        <v>57</v>
      </c>
      <c r="C413" s="38" t="s">
        <v>48</v>
      </c>
      <c r="D413" s="39" t="e">
        <f t="shared" si="6"/>
        <v>#VALUE!</v>
      </c>
    </row>
    <row r="414" spans="2:4" x14ac:dyDescent="0.2">
      <c r="B414" s="37" t="s">
        <v>63</v>
      </c>
      <c r="C414" s="38" t="s">
        <v>48</v>
      </c>
      <c r="D414" s="39" t="e">
        <f t="shared" si="6"/>
        <v>#VALUE!</v>
      </c>
    </row>
    <row r="415" spans="2:4" x14ac:dyDescent="0.2">
      <c r="B415" s="37" t="s">
        <v>63</v>
      </c>
      <c r="C415" s="38" t="s">
        <v>48</v>
      </c>
      <c r="D415" s="39" t="e">
        <f t="shared" si="6"/>
        <v>#VALUE!</v>
      </c>
    </row>
    <row r="416" spans="2:4" x14ac:dyDescent="0.2">
      <c r="B416" s="37" t="s">
        <v>60</v>
      </c>
      <c r="C416" s="38" t="s">
        <v>48</v>
      </c>
      <c r="D416" s="39" t="e">
        <f t="shared" si="6"/>
        <v>#VALUE!</v>
      </c>
    </row>
    <row r="417" spans="2:4" x14ac:dyDescent="0.2">
      <c r="B417" s="37" t="s">
        <v>56</v>
      </c>
      <c r="C417" s="38" t="s">
        <v>49</v>
      </c>
      <c r="D417" s="39" t="e">
        <f t="shared" si="6"/>
        <v>#VALUE!</v>
      </c>
    </row>
    <row r="418" spans="2:4" x14ac:dyDescent="0.2">
      <c r="B418" s="37" t="s">
        <v>63</v>
      </c>
      <c r="C418" s="38" t="s">
        <v>48</v>
      </c>
      <c r="D418" s="39" t="e">
        <f t="shared" si="6"/>
        <v>#VALUE!</v>
      </c>
    </row>
    <row r="419" spans="2:4" x14ac:dyDescent="0.2">
      <c r="B419" s="37" t="s">
        <v>60</v>
      </c>
      <c r="C419" s="38" t="s">
        <v>48</v>
      </c>
      <c r="D419" s="39" t="e">
        <f t="shared" si="6"/>
        <v>#VALUE!</v>
      </c>
    </row>
    <row r="420" spans="2:4" x14ac:dyDescent="0.2">
      <c r="B420" s="37" t="s">
        <v>59</v>
      </c>
      <c r="C420" s="38" t="s">
        <v>48</v>
      </c>
      <c r="D420" s="39" t="e">
        <f t="shared" si="6"/>
        <v>#VALUE!</v>
      </c>
    </row>
    <row r="421" spans="2:4" x14ac:dyDescent="0.2">
      <c r="B421" s="37" t="s">
        <v>63</v>
      </c>
      <c r="C421" s="38" t="s">
        <v>48</v>
      </c>
      <c r="D421" s="39" t="e">
        <f t="shared" si="6"/>
        <v>#VALUE!</v>
      </c>
    </row>
    <row r="422" spans="2:4" x14ac:dyDescent="0.2">
      <c r="B422" s="37" t="s">
        <v>63</v>
      </c>
      <c r="C422" s="38" t="s">
        <v>49</v>
      </c>
      <c r="D422" s="39" t="e">
        <f t="shared" si="6"/>
        <v>#VALUE!</v>
      </c>
    </row>
    <row r="423" spans="2:4" x14ac:dyDescent="0.2">
      <c r="B423" s="37" t="s">
        <v>63</v>
      </c>
      <c r="C423" s="38" t="s">
        <v>49</v>
      </c>
      <c r="D423" s="39" t="e">
        <f t="shared" si="6"/>
        <v>#VALUE!</v>
      </c>
    </row>
    <row r="424" spans="2:4" x14ac:dyDescent="0.2">
      <c r="B424" s="37" t="s">
        <v>52</v>
      </c>
      <c r="C424" s="38" t="s">
        <v>48</v>
      </c>
      <c r="D424" s="39" t="e">
        <f t="shared" si="6"/>
        <v>#VALUE!</v>
      </c>
    </row>
    <row r="425" spans="2:4" x14ac:dyDescent="0.2">
      <c r="B425" s="37" t="s">
        <v>63</v>
      </c>
      <c r="C425" s="38" t="s">
        <v>48</v>
      </c>
      <c r="D425" s="39" t="e">
        <f t="shared" si="6"/>
        <v>#VALUE!</v>
      </c>
    </row>
    <row r="426" spans="2:4" x14ac:dyDescent="0.2">
      <c r="B426" s="37" t="s">
        <v>60</v>
      </c>
      <c r="C426" s="38" t="s">
        <v>48</v>
      </c>
      <c r="D426" s="39" t="e">
        <f t="shared" si="6"/>
        <v>#VALUE!</v>
      </c>
    </row>
    <row r="427" spans="2:4" x14ac:dyDescent="0.2">
      <c r="B427" s="37" t="s">
        <v>60</v>
      </c>
      <c r="C427" s="38" t="s">
        <v>48</v>
      </c>
      <c r="D427" s="39" t="e">
        <f t="shared" si="6"/>
        <v>#VALUE!</v>
      </c>
    </row>
    <row r="428" spans="2:4" x14ac:dyDescent="0.2">
      <c r="B428" s="37" t="s">
        <v>51</v>
      </c>
      <c r="C428" s="38" t="s">
        <v>49</v>
      </c>
      <c r="D428" s="39" t="e">
        <f t="shared" si="6"/>
        <v>#VALUE!</v>
      </c>
    </row>
    <row r="429" spans="2:4" x14ac:dyDescent="0.2">
      <c r="B429" s="37" t="s">
        <v>61</v>
      </c>
      <c r="C429" s="38" t="s">
        <v>48</v>
      </c>
      <c r="D429" s="39" t="e">
        <f t="shared" si="6"/>
        <v>#VALUE!</v>
      </c>
    </row>
    <row r="430" spans="2:4" x14ac:dyDescent="0.2">
      <c r="B430" s="37" t="s">
        <v>52</v>
      </c>
      <c r="C430" s="38" t="s">
        <v>49</v>
      </c>
      <c r="D430" s="39" t="e">
        <f t="shared" si="6"/>
        <v>#VALUE!</v>
      </c>
    </row>
    <row r="431" spans="2:4" x14ac:dyDescent="0.2">
      <c r="B431" s="37" t="s">
        <v>62</v>
      </c>
      <c r="C431" s="38" t="s">
        <v>49</v>
      </c>
      <c r="D431" s="39" t="e">
        <f t="shared" si="6"/>
        <v>#VALUE!</v>
      </c>
    </row>
    <row r="432" spans="2:4" x14ac:dyDescent="0.2">
      <c r="B432" s="37" t="s">
        <v>63</v>
      </c>
      <c r="C432" s="38" t="s">
        <v>49</v>
      </c>
      <c r="D432" s="39" t="e">
        <f t="shared" si="6"/>
        <v>#VALUE!</v>
      </c>
    </row>
    <row r="433" spans="2:4" x14ac:dyDescent="0.2">
      <c r="B433" s="37" t="s">
        <v>62</v>
      </c>
      <c r="C433" s="38" t="s">
        <v>48</v>
      </c>
      <c r="D433" s="39" t="e">
        <f t="shared" si="6"/>
        <v>#VALUE!</v>
      </c>
    </row>
    <row r="434" spans="2:4" x14ac:dyDescent="0.2">
      <c r="B434" s="37" t="s">
        <v>57</v>
      </c>
      <c r="C434" s="38" t="s">
        <v>49</v>
      </c>
      <c r="D434" s="39" t="e">
        <f t="shared" si="6"/>
        <v>#VALUE!</v>
      </c>
    </row>
    <row r="435" spans="2:4" x14ac:dyDescent="0.2">
      <c r="B435" s="37" t="s">
        <v>64</v>
      </c>
      <c r="C435" s="38" t="s">
        <v>48</v>
      </c>
      <c r="D435" s="39" t="e">
        <f t="shared" si="6"/>
        <v>#VALUE!</v>
      </c>
    </row>
    <row r="436" spans="2:4" x14ac:dyDescent="0.2">
      <c r="B436" s="37" t="s">
        <v>54</v>
      </c>
      <c r="C436" s="38" t="s">
        <v>49</v>
      </c>
      <c r="D436" s="39" t="e">
        <f t="shared" si="6"/>
        <v>#VALUE!</v>
      </c>
    </row>
    <row r="437" spans="2:4" x14ac:dyDescent="0.2">
      <c r="B437" s="37" t="s">
        <v>60</v>
      </c>
      <c r="C437" s="38" t="s">
        <v>48</v>
      </c>
      <c r="D437" s="39" t="e">
        <f t="shared" si="6"/>
        <v>#VALUE!</v>
      </c>
    </row>
    <row r="438" spans="2:4" x14ac:dyDescent="0.2">
      <c r="B438" s="37" t="s">
        <v>52</v>
      </c>
      <c r="C438" s="38" t="s">
        <v>48</v>
      </c>
      <c r="D438" s="39" t="e">
        <f t="shared" si="6"/>
        <v>#VALUE!</v>
      </c>
    </row>
    <row r="439" spans="2:4" x14ac:dyDescent="0.2">
      <c r="B439" s="37" t="s">
        <v>59</v>
      </c>
      <c r="C439" s="38" t="s">
        <v>49</v>
      </c>
      <c r="D439" s="39" t="e">
        <f t="shared" si="6"/>
        <v>#VALUE!</v>
      </c>
    </row>
    <row r="440" spans="2:4" x14ac:dyDescent="0.2">
      <c r="B440" s="37" t="s">
        <v>52</v>
      </c>
      <c r="C440" s="38" t="s">
        <v>48</v>
      </c>
      <c r="D440" s="39" t="e">
        <f t="shared" si="6"/>
        <v>#VALUE!</v>
      </c>
    </row>
    <row r="441" spans="2:4" x14ac:dyDescent="0.2">
      <c r="B441" s="37" t="s">
        <v>54</v>
      </c>
      <c r="C441" s="38" t="s">
        <v>49</v>
      </c>
      <c r="D441" s="39" t="e">
        <f t="shared" si="6"/>
        <v>#VALUE!</v>
      </c>
    </row>
    <row r="442" spans="2:4" x14ac:dyDescent="0.2">
      <c r="B442" s="37" t="s">
        <v>56</v>
      </c>
      <c r="C442" s="38" t="s">
        <v>48</v>
      </c>
      <c r="D442" s="39" t="e">
        <f t="shared" si="6"/>
        <v>#VALUE!</v>
      </c>
    </row>
    <row r="443" spans="2:4" x14ac:dyDescent="0.2">
      <c r="B443" s="37" t="s">
        <v>63</v>
      </c>
      <c r="C443" s="38" t="s">
        <v>48</v>
      </c>
      <c r="D443" s="39" t="e">
        <f t="shared" si="6"/>
        <v>#VALUE!</v>
      </c>
    </row>
    <row r="444" spans="2:4" x14ac:dyDescent="0.2">
      <c r="B444" s="37" t="s">
        <v>54</v>
      </c>
      <c r="C444" s="38" t="s">
        <v>49</v>
      </c>
      <c r="D444" s="39" t="e">
        <f t="shared" si="6"/>
        <v>#VALUE!</v>
      </c>
    </row>
    <row r="445" spans="2:4" x14ac:dyDescent="0.2">
      <c r="B445" s="37" t="s">
        <v>56</v>
      </c>
      <c r="C445" s="38" t="s">
        <v>48</v>
      </c>
      <c r="D445" s="39" t="e">
        <f t="shared" si="6"/>
        <v>#VALUE!</v>
      </c>
    </row>
    <row r="446" spans="2:4" x14ac:dyDescent="0.2">
      <c r="B446" s="37" t="s">
        <v>51</v>
      </c>
      <c r="C446" s="38" t="s">
        <v>48</v>
      </c>
      <c r="D446" s="39" t="e">
        <f t="shared" si="6"/>
        <v>#VALUE!</v>
      </c>
    </row>
    <row r="447" spans="2:4" x14ac:dyDescent="0.2">
      <c r="B447" s="37" t="s">
        <v>63</v>
      </c>
      <c r="C447" s="38" t="s">
        <v>48</v>
      </c>
      <c r="D447" s="39" t="e">
        <f t="shared" si="6"/>
        <v>#VALUE!</v>
      </c>
    </row>
    <row r="448" spans="2:4" x14ac:dyDescent="0.2">
      <c r="B448" s="37" t="s">
        <v>63</v>
      </c>
      <c r="C448" s="38" t="s">
        <v>48</v>
      </c>
      <c r="D448" s="39" t="e">
        <f t="shared" si="6"/>
        <v>#VALUE!</v>
      </c>
    </row>
    <row r="449" spans="2:4" x14ac:dyDescent="0.2">
      <c r="B449" s="37" t="s">
        <v>63</v>
      </c>
      <c r="C449" s="38" t="s">
        <v>48</v>
      </c>
      <c r="D449" s="39" t="e">
        <f t="shared" si="6"/>
        <v>#VALUE!</v>
      </c>
    </row>
    <row r="450" spans="2:4" x14ac:dyDescent="0.2">
      <c r="B450" s="37" t="s">
        <v>54</v>
      </c>
      <c r="C450" s="38" t="s">
        <v>49</v>
      </c>
      <c r="D450" s="39" t="e">
        <f t="shared" si="6"/>
        <v>#VALUE!</v>
      </c>
    </row>
    <row r="451" spans="2:4" x14ac:dyDescent="0.2">
      <c r="B451" s="37" t="s">
        <v>61</v>
      </c>
      <c r="C451" s="38" t="s">
        <v>48</v>
      </c>
      <c r="D451" s="39" t="e">
        <f t="shared" si="6"/>
        <v>#VALUE!</v>
      </c>
    </row>
    <row r="452" spans="2:4" x14ac:dyDescent="0.2">
      <c r="B452" s="37" t="s">
        <v>62</v>
      </c>
      <c r="C452" s="38" t="s">
        <v>48</v>
      </c>
      <c r="D452" s="39" t="e">
        <f t="shared" si="6"/>
        <v>#VALUE!</v>
      </c>
    </row>
    <row r="453" spans="2:4" x14ac:dyDescent="0.2">
      <c r="B453" s="37" t="s">
        <v>52</v>
      </c>
      <c r="C453" s="38" t="s">
        <v>49</v>
      </c>
      <c r="D453" s="39" t="e">
        <f t="shared" si="6"/>
        <v>#VALUE!</v>
      </c>
    </row>
    <row r="454" spans="2:4" x14ac:dyDescent="0.2">
      <c r="B454" s="37" t="s">
        <v>56</v>
      </c>
      <c r="C454" s="38" t="s">
        <v>48</v>
      </c>
      <c r="D454" s="39" t="e">
        <f t="shared" si="6"/>
        <v>#VALUE!</v>
      </c>
    </row>
    <row r="455" spans="2:4" x14ac:dyDescent="0.2">
      <c r="B455" s="37" t="s">
        <v>60</v>
      </c>
      <c r="C455" s="38" t="s">
        <v>49</v>
      </c>
      <c r="D455" s="39" t="e">
        <f t="shared" si="6"/>
        <v>#VALUE!</v>
      </c>
    </row>
    <row r="456" spans="2:4" x14ac:dyDescent="0.2">
      <c r="B456" s="37" t="s">
        <v>60</v>
      </c>
      <c r="C456" s="38" t="s">
        <v>48</v>
      </c>
      <c r="D456" s="39" t="e">
        <f t="shared" ref="D456:D506" si="7">priceLookup(B456,C456)</f>
        <v>#VALUE!</v>
      </c>
    </row>
    <row r="457" spans="2:4" x14ac:dyDescent="0.2">
      <c r="B457" s="37" t="s">
        <v>57</v>
      </c>
      <c r="C457" s="38" t="s">
        <v>48</v>
      </c>
      <c r="D457" s="39" t="e">
        <f t="shared" si="7"/>
        <v>#VALUE!</v>
      </c>
    </row>
    <row r="458" spans="2:4" x14ac:dyDescent="0.2">
      <c r="B458" s="37" t="s">
        <v>61</v>
      </c>
      <c r="C458" s="38" t="s">
        <v>49</v>
      </c>
      <c r="D458" s="39" t="e">
        <f t="shared" si="7"/>
        <v>#VALUE!</v>
      </c>
    </row>
    <row r="459" spans="2:4" x14ac:dyDescent="0.2">
      <c r="B459" s="37" t="s">
        <v>60</v>
      </c>
      <c r="C459" s="38" t="s">
        <v>49</v>
      </c>
      <c r="D459" s="39" t="e">
        <f t="shared" si="7"/>
        <v>#VALUE!</v>
      </c>
    </row>
    <row r="460" spans="2:4" x14ac:dyDescent="0.2">
      <c r="B460" s="37" t="s">
        <v>62</v>
      </c>
      <c r="C460" s="38" t="s">
        <v>49</v>
      </c>
      <c r="D460" s="39" t="e">
        <f t="shared" si="7"/>
        <v>#VALUE!</v>
      </c>
    </row>
    <row r="461" spans="2:4" x14ac:dyDescent="0.2">
      <c r="B461" s="37" t="s">
        <v>60</v>
      </c>
      <c r="C461" s="38" t="s">
        <v>48</v>
      </c>
      <c r="D461" s="39" t="e">
        <f t="shared" si="7"/>
        <v>#VALUE!</v>
      </c>
    </row>
    <row r="462" spans="2:4" x14ac:dyDescent="0.2">
      <c r="B462" s="37" t="s">
        <v>61</v>
      </c>
      <c r="C462" s="38" t="s">
        <v>49</v>
      </c>
      <c r="D462" s="39" t="e">
        <f t="shared" si="7"/>
        <v>#VALUE!</v>
      </c>
    </row>
    <row r="463" spans="2:4" x14ac:dyDescent="0.2">
      <c r="B463" s="37" t="s">
        <v>61</v>
      </c>
      <c r="C463" s="38" t="s">
        <v>48</v>
      </c>
      <c r="D463" s="39" t="e">
        <f t="shared" si="7"/>
        <v>#VALUE!</v>
      </c>
    </row>
    <row r="464" spans="2:4" x14ac:dyDescent="0.2">
      <c r="B464" s="37" t="s">
        <v>61</v>
      </c>
      <c r="C464" s="38" t="s">
        <v>48</v>
      </c>
      <c r="D464" s="39" t="e">
        <f t="shared" si="7"/>
        <v>#VALUE!</v>
      </c>
    </row>
    <row r="465" spans="2:4" x14ac:dyDescent="0.2">
      <c r="B465" s="37" t="s">
        <v>58</v>
      </c>
      <c r="C465" s="38" t="s">
        <v>49</v>
      </c>
      <c r="D465" s="39" t="e">
        <f t="shared" si="7"/>
        <v>#VALUE!</v>
      </c>
    </row>
    <row r="466" spans="2:4" x14ac:dyDescent="0.2">
      <c r="B466" s="37" t="s">
        <v>64</v>
      </c>
      <c r="C466" s="38" t="s">
        <v>48</v>
      </c>
      <c r="D466" s="39" t="e">
        <f t="shared" si="7"/>
        <v>#VALUE!</v>
      </c>
    </row>
    <row r="467" spans="2:4" x14ac:dyDescent="0.2">
      <c r="B467" s="37" t="s">
        <v>63</v>
      </c>
      <c r="C467" s="38" t="s">
        <v>48</v>
      </c>
      <c r="D467" s="39" t="e">
        <f t="shared" si="7"/>
        <v>#VALUE!</v>
      </c>
    </row>
    <row r="468" spans="2:4" x14ac:dyDescent="0.2">
      <c r="B468" s="37" t="s">
        <v>61</v>
      </c>
      <c r="C468" s="38" t="s">
        <v>49</v>
      </c>
      <c r="D468" s="39" t="e">
        <f t="shared" si="7"/>
        <v>#VALUE!</v>
      </c>
    </row>
    <row r="469" spans="2:4" x14ac:dyDescent="0.2">
      <c r="B469" s="37" t="s">
        <v>60</v>
      </c>
      <c r="C469" s="38" t="s">
        <v>49</v>
      </c>
      <c r="D469" s="39" t="e">
        <f t="shared" si="7"/>
        <v>#VALUE!</v>
      </c>
    </row>
    <row r="470" spans="2:4" x14ac:dyDescent="0.2">
      <c r="B470" s="37" t="s">
        <v>54</v>
      </c>
      <c r="C470" s="38" t="s">
        <v>49</v>
      </c>
      <c r="D470" s="39" t="e">
        <f t="shared" si="7"/>
        <v>#VALUE!</v>
      </c>
    </row>
    <row r="471" spans="2:4" x14ac:dyDescent="0.2">
      <c r="B471" s="37" t="s">
        <v>63</v>
      </c>
      <c r="C471" s="38" t="s">
        <v>48</v>
      </c>
      <c r="D471" s="39" t="e">
        <f t="shared" si="7"/>
        <v>#VALUE!</v>
      </c>
    </row>
    <row r="472" spans="2:4" x14ac:dyDescent="0.2">
      <c r="B472" s="37" t="s">
        <v>54</v>
      </c>
      <c r="C472" s="38" t="s">
        <v>49</v>
      </c>
      <c r="D472" s="39" t="e">
        <f t="shared" si="7"/>
        <v>#VALUE!</v>
      </c>
    </row>
    <row r="473" spans="2:4" x14ac:dyDescent="0.2">
      <c r="B473" s="37" t="s">
        <v>62</v>
      </c>
      <c r="C473" s="38" t="s">
        <v>49</v>
      </c>
      <c r="D473" s="39" t="e">
        <f t="shared" si="7"/>
        <v>#VALUE!</v>
      </c>
    </row>
    <row r="474" spans="2:4" x14ac:dyDescent="0.2">
      <c r="B474" s="37" t="s">
        <v>57</v>
      </c>
      <c r="C474" s="38" t="s">
        <v>48</v>
      </c>
      <c r="D474" s="39" t="e">
        <f t="shared" si="7"/>
        <v>#VALUE!</v>
      </c>
    </row>
    <row r="475" spans="2:4" x14ac:dyDescent="0.2">
      <c r="B475" s="37" t="s">
        <v>56</v>
      </c>
      <c r="C475" s="38" t="s">
        <v>48</v>
      </c>
      <c r="D475" s="39" t="e">
        <f t="shared" si="7"/>
        <v>#VALUE!</v>
      </c>
    </row>
    <row r="476" spans="2:4" x14ac:dyDescent="0.2">
      <c r="B476" s="37" t="s">
        <v>63</v>
      </c>
      <c r="C476" s="38" t="s">
        <v>48</v>
      </c>
      <c r="D476" s="39" t="e">
        <f t="shared" si="7"/>
        <v>#VALUE!</v>
      </c>
    </row>
    <row r="477" spans="2:4" x14ac:dyDescent="0.2">
      <c r="B477" s="37" t="s">
        <v>62</v>
      </c>
      <c r="C477" s="38" t="s">
        <v>49</v>
      </c>
      <c r="D477" s="39" t="e">
        <f t="shared" si="7"/>
        <v>#VALUE!</v>
      </c>
    </row>
    <row r="478" spans="2:4" x14ac:dyDescent="0.2">
      <c r="B478" s="37" t="s">
        <v>63</v>
      </c>
      <c r="C478" s="38" t="s">
        <v>48</v>
      </c>
      <c r="D478" s="39" t="e">
        <f t="shared" si="7"/>
        <v>#VALUE!</v>
      </c>
    </row>
    <row r="479" spans="2:4" x14ac:dyDescent="0.2">
      <c r="B479" s="37" t="s">
        <v>51</v>
      </c>
      <c r="C479" s="38" t="s">
        <v>48</v>
      </c>
      <c r="D479" s="39" t="e">
        <f t="shared" si="7"/>
        <v>#VALUE!</v>
      </c>
    </row>
    <row r="480" spans="2:4" x14ac:dyDescent="0.2">
      <c r="B480" s="37" t="s">
        <v>57</v>
      </c>
      <c r="C480" s="38" t="s">
        <v>48</v>
      </c>
      <c r="D480" s="39" t="e">
        <f t="shared" si="7"/>
        <v>#VALUE!</v>
      </c>
    </row>
    <row r="481" spans="2:4" x14ac:dyDescent="0.2">
      <c r="B481" s="37" t="s">
        <v>61</v>
      </c>
      <c r="C481" s="38" t="s">
        <v>48</v>
      </c>
      <c r="D481" s="39" t="e">
        <f t="shared" si="7"/>
        <v>#VALUE!</v>
      </c>
    </row>
    <row r="482" spans="2:4" x14ac:dyDescent="0.2">
      <c r="B482" s="37" t="s">
        <v>63</v>
      </c>
      <c r="C482" s="38" t="s">
        <v>49</v>
      </c>
      <c r="D482" s="39" t="e">
        <f t="shared" si="7"/>
        <v>#VALUE!</v>
      </c>
    </row>
    <row r="483" spans="2:4" x14ac:dyDescent="0.2">
      <c r="B483" s="37" t="s">
        <v>63</v>
      </c>
      <c r="C483" s="38" t="s">
        <v>48</v>
      </c>
      <c r="D483" s="39" t="e">
        <f t="shared" si="7"/>
        <v>#VALUE!</v>
      </c>
    </row>
    <row r="484" spans="2:4" x14ac:dyDescent="0.2">
      <c r="B484" s="37" t="s">
        <v>60</v>
      </c>
      <c r="C484" s="38" t="s">
        <v>49</v>
      </c>
      <c r="D484" s="39" t="e">
        <f t="shared" si="7"/>
        <v>#VALUE!</v>
      </c>
    </row>
    <row r="485" spans="2:4" x14ac:dyDescent="0.2">
      <c r="B485" s="37" t="s">
        <v>57</v>
      </c>
      <c r="C485" s="38" t="s">
        <v>48</v>
      </c>
      <c r="D485" s="39" t="e">
        <f t="shared" si="7"/>
        <v>#VALUE!</v>
      </c>
    </row>
    <row r="486" spans="2:4" x14ac:dyDescent="0.2">
      <c r="B486" s="37" t="s">
        <v>55</v>
      </c>
      <c r="C486" s="38" t="s">
        <v>49</v>
      </c>
      <c r="D486" s="39" t="e">
        <f t="shared" si="7"/>
        <v>#VALUE!</v>
      </c>
    </row>
    <row r="487" spans="2:4" x14ac:dyDescent="0.2">
      <c r="B487" s="37" t="s">
        <v>60</v>
      </c>
      <c r="C487" s="38" t="s">
        <v>49</v>
      </c>
      <c r="D487" s="39" t="e">
        <f t="shared" si="7"/>
        <v>#VALUE!</v>
      </c>
    </row>
    <row r="488" spans="2:4" x14ac:dyDescent="0.2">
      <c r="B488" s="37" t="s">
        <v>60</v>
      </c>
      <c r="C488" s="38" t="s">
        <v>49</v>
      </c>
      <c r="D488" s="39" t="e">
        <f t="shared" si="7"/>
        <v>#VALUE!</v>
      </c>
    </row>
    <row r="489" spans="2:4" x14ac:dyDescent="0.2">
      <c r="B489" s="37" t="s">
        <v>63</v>
      </c>
      <c r="C489" s="38" t="s">
        <v>49</v>
      </c>
      <c r="D489" s="39" t="e">
        <f t="shared" si="7"/>
        <v>#VALUE!</v>
      </c>
    </row>
    <row r="490" spans="2:4" x14ac:dyDescent="0.2">
      <c r="B490" s="37" t="s">
        <v>54</v>
      </c>
      <c r="C490" s="38" t="s">
        <v>49</v>
      </c>
      <c r="D490" s="39" t="e">
        <f t="shared" si="7"/>
        <v>#VALUE!</v>
      </c>
    </row>
    <row r="491" spans="2:4" x14ac:dyDescent="0.2">
      <c r="B491" s="37" t="s">
        <v>60</v>
      </c>
      <c r="C491" s="38" t="s">
        <v>49</v>
      </c>
      <c r="D491" s="39" t="e">
        <f t="shared" si="7"/>
        <v>#VALUE!</v>
      </c>
    </row>
    <row r="492" spans="2:4" x14ac:dyDescent="0.2">
      <c r="B492" s="37" t="s">
        <v>60</v>
      </c>
      <c r="C492" s="38" t="s">
        <v>49</v>
      </c>
      <c r="D492" s="39" t="e">
        <f t="shared" si="7"/>
        <v>#VALUE!</v>
      </c>
    </row>
    <row r="493" spans="2:4" x14ac:dyDescent="0.2">
      <c r="B493" s="37" t="s">
        <v>54</v>
      </c>
      <c r="C493" s="38" t="s">
        <v>49</v>
      </c>
      <c r="D493" s="39" t="e">
        <f t="shared" si="7"/>
        <v>#VALUE!</v>
      </c>
    </row>
    <row r="494" spans="2:4" x14ac:dyDescent="0.2">
      <c r="B494" s="37" t="s">
        <v>62</v>
      </c>
      <c r="C494" s="38" t="s">
        <v>48</v>
      </c>
      <c r="D494" s="39" t="e">
        <f t="shared" si="7"/>
        <v>#VALUE!</v>
      </c>
    </row>
    <row r="495" spans="2:4" x14ac:dyDescent="0.2">
      <c r="B495" s="37" t="s">
        <v>63</v>
      </c>
      <c r="C495" s="38" t="s">
        <v>48</v>
      </c>
      <c r="D495" s="39" t="e">
        <f t="shared" si="7"/>
        <v>#VALUE!</v>
      </c>
    </row>
    <row r="496" spans="2:4" x14ac:dyDescent="0.2">
      <c r="B496" s="37" t="s">
        <v>60</v>
      </c>
      <c r="C496" s="38" t="s">
        <v>49</v>
      </c>
      <c r="D496" s="39" t="e">
        <f t="shared" si="7"/>
        <v>#VALUE!</v>
      </c>
    </row>
    <row r="497" spans="2:4" x14ac:dyDescent="0.2">
      <c r="B497" s="37" t="s">
        <v>62</v>
      </c>
      <c r="C497" s="38" t="s">
        <v>48</v>
      </c>
      <c r="D497" s="39" t="e">
        <f t="shared" si="7"/>
        <v>#VALUE!</v>
      </c>
    </row>
    <row r="498" spans="2:4" x14ac:dyDescent="0.2">
      <c r="B498" s="37" t="s">
        <v>56</v>
      </c>
      <c r="C498" s="38" t="s">
        <v>48</v>
      </c>
      <c r="D498" s="39" t="e">
        <f t="shared" si="7"/>
        <v>#VALUE!</v>
      </c>
    </row>
    <row r="499" spans="2:4" x14ac:dyDescent="0.2">
      <c r="B499" s="37" t="s">
        <v>61</v>
      </c>
      <c r="C499" s="38" t="s">
        <v>49</v>
      </c>
      <c r="D499" s="39" t="e">
        <f t="shared" si="7"/>
        <v>#VALUE!</v>
      </c>
    </row>
    <row r="500" spans="2:4" x14ac:dyDescent="0.2">
      <c r="B500" s="37" t="s">
        <v>54</v>
      </c>
      <c r="C500" s="38" t="s">
        <v>48</v>
      </c>
      <c r="D500" s="39" t="e">
        <f t="shared" si="7"/>
        <v>#VALUE!</v>
      </c>
    </row>
    <row r="501" spans="2:4" x14ac:dyDescent="0.2">
      <c r="B501" s="37" t="s">
        <v>54</v>
      </c>
      <c r="C501" s="38" t="s">
        <v>48</v>
      </c>
      <c r="D501" s="39" t="e">
        <f t="shared" si="7"/>
        <v>#VALUE!</v>
      </c>
    </row>
    <row r="502" spans="2:4" x14ac:dyDescent="0.2">
      <c r="B502" s="37" t="s">
        <v>60</v>
      </c>
      <c r="C502" s="38" t="s">
        <v>48</v>
      </c>
      <c r="D502" s="39" t="e">
        <f t="shared" si="7"/>
        <v>#VALUE!</v>
      </c>
    </row>
    <row r="503" spans="2:4" x14ac:dyDescent="0.2">
      <c r="B503" s="37" t="s">
        <v>63</v>
      </c>
      <c r="C503" s="38" t="s">
        <v>49</v>
      </c>
      <c r="D503" s="39" t="e">
        <f t="shared" si="7"/>
        <v>#VALUE!</v>
      </c>
    </row>
    <row r="504" spans="2:4" x14ac:dyDescent="0.2">
      <c r="B504" s="37" t="s">
        <v>63</v>
      </c>
      <c r="C504" s="38" t="s">
        <v>48</v>
      </c>
      <c r="D504" s="39" t="e">
        <f t="shared" si="7"/>
        <v>#VALUE!</v>
      </c>
    </row>
    <row r="505" spans="2:4" x14ac:dyDescent="0.2">
      <c r="B505" s="37" t="s">
        <v>54</v>
      </c>
      <c r="C505" s="38" t="s">
        <v>48</v>
      </c>
      <c r="D505" s="39" t="e">
        <f t="shared" si="7"/>
        <v>#VALUE!</v>
      </c>
    </row>
    <row r="506" spans="2:4" x14ac:dyDescent="0.2">
      <c r="B506" s="41" t="s">
        <v>53</v>
      </c>
      <c r="C506" s="28" t="s">
        <v>49</v>
      </c>
      <c r="D506" s="39" t="e">
        <f t="shared" si="7"/>
        <v>#VALUE!</v>
      </c>
    </row>
  </sheetData>
  <sortState ref="K4:M17">
    <sortCondition ref="K4:K17"/>
  </sortState>
  <mergeCells count="2">
    <mergeCell ref="K1:M1"/>
    <mergeCell ref="L2:M2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9"/>
  <dimension ref="A2:C20"/>
  <sheetViews>
    <sheetView showGridLines="0" tabSelected="1" workbookViewId="0">
      <selection activeCell="B14" sqref="B14"/>
    </sheetView>
  </sheetViews>
  <sheetFormatPr baseColWidth="10" defaultColWidth="8.83203125" defaultRowHeight="15" x14ac:dyDescent="0.2"/>
  <cols>
    <col min="1" max="1" width="12.33203125" bestFit="1" customWidth="1"/>
  </cols>
  <sheetData>
    <row r="2" spans="1:3" x14ac:dyDescent="0.2">
      <c r="B2" s="59" t="s">
        <v>76</v>
      </c>
      <c r="C2" s="60"/>
    </row>
    <row r="3" spans="1:3" x14ac:dyDescent="0.2">
      <c r="A3" s="48" t="s">
        <v>65</v>
      </c>
      <c r="B3" s="49" t="s">
        <v>48</v>
      </c>
      <c r="C3" s="49" t="s">
        <v>49</v>
      </c>
    </row>
    <row r="4" spans="1:3" x14ac:dyDescent="0.2">
      <c r="A4" s="11" t="s">
        <v>57</v>
      </c>
      <c r="B4" s="50">
        <v>5</v>
      </c>
      <c r="C4" s="50">
        <v>0</v>
      </c>
    </row>
    <row r="5" spans="1:3" x14ac:dyDescent="0.2">
      <c r="A5" s="11" t="s">
        <v>56</v>
      </c>
      <c r="B5" s="50">
        <v>0</v>
      </c>
      <c r="C5" s="50">
        <v>0</v>
      </c>
    </row>
    <row r="6" spans="1:3" x14ac:dyDescent="0.2">
      <c r="A6" s="11" t="s">
        <v>53</v>
      </c>
      <c r="B6" s="50">
        <v>0</v>
      </c>
      <c r="C6" s="50">
        <v>0</v>
      </c>
    </row>
    <row r="7" spans="1:3" x14ac:dyDescent="0.2">
      <c r="A7" s="11" t="s">
        <v>62</v>
      </c>
      <c r="B7" s="50">
        <v>0</v>
      </c>
      <c r="C7" s="50">
        <v>0</v>
      </c>
    </row>
    <row r="8" spans="1:3" x14ac:dyDescent="0.2">
      <c r="A8" s="11" t="s">
        <v>64</v>
      </c>
      <c r="B8" s="50">
        <v>0</v>
      </c>
      <c r="C8" s="50">
        <v>0</v>
      </c>
    </row>
    <row r="9" spans="1:3" x14ac:dyDescent="0.2">
      <c r="A9" s="11" t="s">
        <v>58</v>
      </c>
      <c r="B9" s="50">
        <v>0</v>
      </c>
      <c r="C9" s="50">
        <v>1</v>
      </c>
    </row>
    <row r="10" spans="1:3" x14ac:dyDescent="0.2">
      <c r="A10" s="11" t="s">
        <v>54</v>
      </c>
      <c r="B10" s="50">
        <v>0</v>
      </c>
      <c r="C10" s="50">
        <v>0</v>
      </c>
    </row>
    <row r="11" spans="1:3" x14ac:dyDescent="0.2">
      <c r="A11" s="11" t="s">
        <v>63</v>
      </c>
      <c r="B11" s="50">
        <v>0</v>
      </c>
      <c r="C11" s="50">
        <v>0</v>
      </c>
    </row>
    <row r="12" spans="1:3" x14ac:dyDescent="0.2">
      <c r="A12" s="11" t="s">
        <v>60</v>
      </c>
      <c r="B12" s="50">
        <v>0</v>
      </c>
      <c r="C12" s="50">
        <v>0</v>
      </c>
    </row>
    <row r="13" spans="1:3" x14ac:dyDescent="0.2">
      <c r="A13" s="11" t="s">
        <v>51</v>
      </c>
      <c r="B13" s="50">
        <v>1</v>
      </c>
      <c r="C13" s="50">
        <v>0</v>
      </c>
    </row>
    <row r="14" spans="1:3" x14ac:dyDescent="0.2">
      <c r="A14" s="11" t="s">
        <v>59</v>
      </c>
      <c r="B14" s="50">
        <v>0</v>
      </c>
      <c r="C14" s="50">
        <v>0</v>
      </c>
    </row>
    <row r="15" spans="1:3" x14ac:dyDescent="0.2">
      <c r="A15" s="11" t="s">
        <v>61</v>
      </c>
      <c r="B15" s="50">
        <v>0</v>
      </c>
      <c r="C15" s="50">
        <v>0</v>
      </c>
    </row>
    <row r="16" spans="1:3" x14ac:dyDescent="0.2">
      <c r="A16" s="11" t="s">
        <v>52</v>
      </c>
      <c r="B16" s="50">
        <v>0</v>
      </c>
      <c r="C16" s="50">
        <v>0</v>
      </c>
    </row>
    <row r="17" spans="1:3" x14ac:dyDescent="0.2">
      <c r="A17" s="11" t="s">
        <v>55</v>
      </c>
      <c r="B17" s="50">
        <v>0</v>
      </c>
      <c r="C17" s="50">
        <v>0</v>
      </c>
    </row>
    <row r="19" spans="1:3" x14ac:dyDescent="0.2">
      <c r="A19" t="s">
        <v>77</v>
      </c>
      <c r="C19" s="51"/>
    </row>
    <row r="20" spans="1:3" x14ac:dyDescent="0.2">
      <c r="B20" s="57">
        <v>622</v>
      </c>
      <c r="C20" s="58"/>
    </row>
  </sheetData>
  <mergeCells count="2">
    <mergeCell ref="B20:C20"/>
    <mergeCell ref="B2:C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checkout">
                <anchor moveWithCells="1" sizeWithCells="1">
                  <from>
                    <xdr:col>3</xdr:col>
                    <xdr:colOff>203200</xdr:colOff>
                    <xdr:row>16</xdr:row>
                    <xdr:rowOff>139700</xdr:rowOff>
                  </from>
                  <to>
                    <xdr:col>5</xdr:col>
                    <xdr:colOff>520700</xdr:colOff>
                    <xdr:row>19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Logo</vt:lpstr>
      <vt:lpstr>Summary</vt:lpstr>
      <vt:lpstr>Region1</vt:lpstr>
      <vt:lpstr>Region2</vt:lpstr>
      <vt:lpstr>Region3</vt:lpstr>
      <vt:lpstr>Region4</vt:lpstr>
      <vt:lpstr>Region5</vt:lpstr>
      <vt:lpstr>Region6</vt:lpstr>
      <vt:lpstr>Region7</vt:lpstr>
      <vt:lpstr>Region8</vt:lpstr>
      <vt:lpstr>Region9</vt:lpstr>
      <vt:lpstr>Region10</vt:lpstr>
      <vt:lpstr>Region11</vt:lpstr>
      <vt:lpstr>Region12</vt:lpstr>
      <vt:lpstr>Region13</vt:lpstr>
      <vt:lpstr>Region14</vt:lpstr>
      <vt:lpstr>Region15</vt:lpstr>
      <vt:lpstr>Region16</vt:lpstr>
      <vt:lpstr>Region17</vt:lpstr>
      <vt:lpstr>Region18</vt:lpstr>
      <vt:lpstr>Region19</vt:lpstr>
      <vt:lpstr>Region20</vt:lpstr>
      <vt:lpstr>Distibution</vt:lpstr>
      <vt:lpstr>Warranty Sales - Function</vt:lpstr>
      <vt:lpstr>Checkout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Actuwaiers</dc:creator>
  <cp:lastModifiedBy>Junho Lee</cp:lastModifiedBy>
  <dcterms:created xsi:type="dcterms:W3CDTF">2013-02-23T06:28:21Z</dcterms:created>
  <dcterms:modified xsi:type="dcterms:W3CDTF">2018-12-25T06:05:54Z</dcterms:modified>
</cp:coreProperties>
</file>